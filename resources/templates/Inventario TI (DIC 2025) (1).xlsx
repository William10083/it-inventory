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transtotalamperu-my.sharepoint.com/personal/gperez_transtotalperu_com/Documents/"/>
    </mc:Choice>
  </mc:AlternateContent>
  <xr:revisionPtr revIDLastSave="0" documentId="8_{2D3E3E26-CBC3-41AD-BD3A-E2926797D042}" xr6:coauthVersionLast="47" xr6:coauthVersionMax="47" xr10:uidLastSave="{00000000-0000-0000-0000-000000000000}"/>
  <bookViews>
    <workbookView xWindow="-108" yWindow="-108" windowWidth="23256" windowHeight="13896" firstSheet="1" xr2:uid="{00000000-000D-0000-FFFF-FFFF00000000}"/>
  </bookViews>
  <sheets>
    <sheet name="CheckList" sheetId="1" r:id="rId1"/>
    <sheet name="Inventario TI" sheetId="19" r:id="rId2"/>
    <sheet name="BD PC" sheetId="5" state="hidden" r:id="rId3"/>
    <sheet name="BD Accesorios" sheetId="11" state="hidden" r:id="rId4"/>
  </sheets>
  <definedNames>
    <definedName name="AG" localSheetId="3">#REF!</definedName>
    <definedName name="AG">#REF!</definedName>
    <definedName name="_xlnm.Print_Area" localSheetId="0">CheckList!$A$1:$P$86</definedName>
    <definedName name="GA" localSheetId="3">#REF!</definedName>
    <definedName name="GA">#REF!</definedName>
    <definedName name="SegmentaciónDeDatos_DEPARTAMENTO">#REF!</definedName>
    <definedName name="SegmentaciónDeDatos_SED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5" roundtripDataChecksum="uHnrQCUqx0VwGIw4uFFYRcD0hogeHAScd48r+/cEEdE="/>
    </ext>
  </extLst>
</workbook>
</file>

<file path=xl/calcChain.xml><?xml version="1.0" encoding="utf-8"?>
<calcChain xmlns="http://schemas.openxmlformats.org/spreadsheetml/2006/main">
  <c r="G79" i="1" l="1"/>
  <c r="K52" i="1"/>
  <c r="K51" i="1"/>
  <c r="K50" i="1"/>
  <c r="K49" i="1"/>
  <c r="K46" i="1"/>
  <c r="K45" i="1"/>
  <c r="K44" i="1"/>
  <c r="K43" i="1"/>
  <c r="L19" i="1"/>
  <c r="O52" i="1"/>
  <c r="O51" i="1"/>
  <c r="O50" i="1"/>
  <c r="O49" i="1"/>
  <c r="N48" i="1"/>
  <c r="O46" i="1"/>
  <c r="O45" i="1"/>
  <c r="O44" i="1"/>
  <c r="O43" i="1"/>
  <c r="N42" i="1"/>
  <c r="O40" i="1"/>
  <c r="O39" i="1"/>
  <c r="O38" i="1"/>
  <c r="O37" i="1"/>
  <c r="N36" i="1"/>
  <c r="O34" i="1"/>
  <c r="O33" i="1"/>
  <c r="O32" i="1"/>
  <c r="O31" i="1"/>
  <c r="N30" i="1"/>
  <c r="K40" i="1"/>
  <c r="K39" i="1"/>
  <c r="K38" i="1"/>
  <c r="K37" i="1"/>
  <c r="K34" i="1"/>
  <c r="K33" i="1"/>
  <c r="K32" i="1"/>
  <c r="K31" i="1"/>
  <c r="D51" i="1"/>
  <c r="D50" i="1"/>
  <c r="D43" i="1"/>
  <c r="D49" i="1"/>
  <c r="D46" i="1"/>
  <c r="D45" i="1"/>
  <c r="D44" i="1"/>
  <c r="D38" i="1"/>
  <c r="D33" i="1"/>
  <c r="D40" i="1"/>
  <c r="D39" i="1"/>
  <c r="D34" i="1"/>
  <c r="D35" i="1"/>
  <c r="D32" i="1"/>
  <c r="D31" i="1"/>
  <c r="D20" i="1"/>
  <c r="D16" i="1"/>
  <c r="D17" i="1"/>
  <c r="L80" i="1" s="1"/>
  <c r="D18" i="1"/>
  <c r="L79" i="1" s="1"/>
  <c r="L18" i="1"/>
  <c r="D19" i="1"/>
  <c r="D21" i="1"/>
  <c r="C30" i="1"/>
  <c r="O73" i="1"/>
  <c r="Y20" i="5"/>
  <c r="X20" i="5"/>
  <c r="U20" i="5"/>
  <c r="V20" i="5" s="1"/>
  <c r="Y19" i="5"/>
  <c r="X19" i="5"/>
  <c r="U19" i="5"/>
  <c r="V19" i="5" s="1"/>
  <c r="Y18" i="5"/>
  <c r="X18" i="5"/>
  <c r="U18" i="5"/>
  <c r="V18" i="5" s="1"/>
  <c r="Y17" i="5"/>
  <c r="X17" i="5"/>
  <c r="U17" i="5"/>
  <c r="V17" i="5" s="1"/>
  <c r="Y16" i="5"/>
  <c r="X16" i="5"/>
  <c r="U16" i="5"/>
  <c r="V16" i="5" s="1"/>
  <c r="Y15" i="5"/>
  <c r="X15" i="5"/>
  <c r="U15" i="5"/>
  <c r="V15" i="5" s="1"/>
  <c r="U14" i="5"/>
  <c r="V14" i="5" s="1"/>
  <c r="Y13" i="5"/>
  <c r="U13" i="5"/>
  <c r="V13" i="5" s="1"/>
  <c r="Y12" i="5"/>
  <c r="U12" i="5"/>
  <c r="V12" i="5" s="1"/>
  <c r="Y11" i="5"/>
  <c r="U11" i="5"/>
  <c r="V11" i="5" s="1"/>
  <c r="Y10" i="5"/>
  <c r="X10" i="5"/>
  <c r="U10" i="5"/>
  <c r="V10" i="5" s="1"/>
  <c r="Y9" i="5"/>
  <c r="X9" i="5"/>
  <c r="U9" i="5"/>
  <c r="V9" i="5" s="1"/>
  <c r="Y8" i="5"/>
  <c r="X8" i="5"/>
  <c r="U8" i="5"/>
  <c r="V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======
ID#AAAA5vNCtCs
Ronald Cruz    (2023-09-11 01:10:59)
Año+Mes+Correlativo
Ejem:
2012001</t>
        </r>
      </text>
    </comment>
    <comment ref="F7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======
ID#AAAA5vNCtDU
Ronald Cruz    (2023-09-11 01:10:59)
SI NO TIENE DOMINIO SERÍA "WORKGROUP"</t>
        </r>
      </text>
    </comment>
    <comment ref="G7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======
ID#AAAA5vNCtEM
Ronald Cruz    (2023-09-11 01:10:59)
PRINCIPAL
SECUNDARIO</t>
        </r>
      </text>
    </comment>
    <comment ref="V7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ID#AAAA5vNCtEg
Ronald Cruz    (2023-09-11 01:10:59)
CON GARANTIA
SIN GARANTIA</t>
        </r>
      </text>
    </comment>
    <comment ref="W7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======
ID#AAAA5vNCtBs
Ronald Cruz    (2023-09-11 01:10:59)
OPERATIVO
INOPERATIVO</t>
        </r>
      </text>
    </comment>
    <comment ref="Y7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======
ID#AAAA5vNCtAc
Ronald Cruz    (2023-09-11 01:10:59)
Se debe mostrar en años</t>
        </r>
      </text>
    </comment>
    <comment ref="AD7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======
ID#AAAA5vNCtD4
Ronald Cruz    (2023-09-11 01:10:59)
En este campo se registrará o modificará cada vez que se realice sobre un registro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O4izGhybx2bSykug8ARbOEvHLg=="/>
    </ext>
  </extLst>
</comments>
</file>

<file path=xl/sharedStrings.xml><?xml version="1.0" encoding="utf-8"?>
<sst xmlns="http://schemas.openxmlformats.org/spreadsheetml/2006/main" count="3269" uniqueCount="630">
  <si>
    <t>FORMATO</t>
  </si>
  <si>
    <t>Código:</t>
  </si>
  <si>
    <t>ACTA DE ENTREGA DE EQUIPO</t>
  </si>
  <si>
    <t xml:space="preserve">Fecha: </t>
  </si>
  <si>
    <t>Versión: 001</t>
  </si>
  <si>
    <t>Item</t>
  </si>
  <si>
    <t>Empresa</t>
  </si>
  <si>
    <t>Código (DNI)</t>
  </si>
  <si>
    <t>Usuario (Apellidos y Nombres)</t>
  </si>
  <si>
    <t>Tipo de asignación</t>
  </si>
  <si>
    <t>Sede</t>
  </si>
  <si>
    <t>Otros Comentarios</t>
  </si>
  <si>
    <t>Área</t>
  </si>
  <si>
    <t>Puesto</t>
  </si>
  <si>
    <r>
      <t xml:space="preserve">Por el presente tomo conocimiento de las políticas de uso de los activos de cómputo de TRANSTOTAL AGENCIA MARITIMA S.A y me comprometo a respetarlas bajo responsabilidad personal:
</t>
    </r>
    <r>
      <rPr>
        <sz val="11"/>
        <color theme="1"/>
        <rFont val="Verdana"/>
        <family val="2"/>
      </rPr>
      <t xml:space="preserve">
1. Declaro y estoy de acuerdo en recibir los equipos con las siguientes características:</t>
    </r>
  </si>
  <si>
    <t>MONITOR</t>
  </si>
  <si>
    <t>Marca:</t>
  </si>
  <si>
    <t>Modelo:</t>
  </si>
  <si>
    <t>Nro. Serie:</t>
  </si>
  <si>
    <t>Serie:</t>
  </si>
  <si>
    <t>Hostname:</t>
  </si>
  <si>
    <t>Codigo Interno:</t>
  </si>
  <si>
    <t>MOCHILA</t>
  </si>
  <si>
    <t>CARGADOR DE LAPTOP</t>
  </si>
  <si>
    <t>TECLADO</t>
  </si>
  <si>
    <t>HEADSETS</t>
  </si>
  <si>
    <t>MOUSE</t>
  </si>
  <si>
    <t>DOCKING STATION</t>
  </si>
  <si>
    <t xml:space="preserve">2. Hacer uso responsable del equipo, siguiendo las políticas de uso y cuidado establecidas por la empresa y detalladas en el presente documento.
                                                                                                                                                                                                                                    </t>
  </si>
  <si>
    <t>3. Cuidar la laptop contra daño, y reportar inmediatamente cualquier incidente al área de TI en caso de pérdida o robo.</t>
  </si>
  <si>
    <t>4. No instalar software no autorizado o realizar modificaciones no permitidas al sistema.</t>
  </si>
  <si>
    <t>5. Permitir revisiones, auditorías y mantenimiento cuando la empresa lo solicite.</t>
  </si>
  <si>
    <t>6. Devolver el equipo en buen estado cuando sea requerido por la empresa o al finalizar la relación laboral.</t>
  </si>
  <si>
    <t>7. Acatar las políticas de descuento, en caso sea aplicable.</t>
  </si>
  <si>
    <t>Lima;</t>
  </si>
  <si>
    <t>Area TI</t>
  </si>
  <si>
    <t>Entregado por:</t>
  </si>
  <si>
    <t>Usuario</t>
  </si>
  <si>
    <t>Prohibida su reproducción (total o parcial) o modificación sin la autorización correspondiente.</t>
  </si>
  <si>
    <t>DATOS DEL USUARIO</t>
  </si>
  <si>
    <t>DATOS DEL EQUIPO</t>
  </si>
  <si>
    <t>CARGADOR</t>
  </si>
  <si>
    <t>OTROS ACCESORIOS</t>
  </si>
  <si>
    <t>OTROS COMPLEMENTOS</t>
  </si>
  <si>
    <t>ITEM</t>
  </si>
  <si>
    <t>EMPRESA</t>
  </si>
  <si>
    <t>DNI</t>
  </si>
  <si>
    <t>NOMBRES</t>
  </si>
  <si>
    <t>APELLIDOS</t>
  </si>
  <si>
    <t>SEDE</t>
  </si>
  <si>
    <t>AREA</t>
  </si>
  <si>
    <t>PUESTO</t>
  </si>
  <si>
    <t>TIPO DE EQUIPO</t>
  </si>
  <si>
    <t>TIPO DE ENTREGA</t>
  </si>
  <si>
    <t>NOMBRE DEL EQUIPO</t>
  </si>
  <si>
    <t xml:space="preserve">CODIGO INTERNO </t>
  </si>
  <si>
    <t>MARCA</t>
  </si>
  <si>
    <t xml:space="preserve">MODELO </t>
  </si>
  <si>
    <t>SERIE</t>
  </si>
  <si>
    <t>PROCESADOR</t>
  </si>
  <si>
    <t>DISCO</t>
  </si>
  <si>
    <t>RAM</t>
  </si>
  <si>
    <t>MODELO</t>
  </si>
  <si>
    <t>CODIGO INTERNO</t>
  </si>
  <si>
    <t>TIPO</t>
  </si>
  <si>
    <t>TI QUE ASIGNA</t>
  </si>
  <si>
    <t>OTROS COMENTARIOS</t>
  </si>
  <si>
    <t>TRANSTOTAL AGENCIA MARITIMA S.A</t>
  </si>
  <si>
    <t xml:space="preserve">SINDY LIZETH </t>
  </si>
  <si>
    <t>PACHAS HERRERA</t>
  </si>
  <si>
    <t>SAN ISIDRO</t>
  </si>
  <si>
    <t>CONTABILIDAD</t>
  </si>
  <si>
    <t>ANALISTA CONTABLE</t>
  </si>
  <si>
    <t>LAPTOP</t>
  </si>
  <si>
    <t>REEMPLAZO</t>
  </si>
  <si>
    <t>PETAMLT0039</t>
  </si>
  <si>
    <t>NA</t>
  </si>
  <si>
    <t>HP</t>
  </si>
  <si>
    <t>Probook 440 14</t>
  </si>
  <si>
    <t>5CD5401LWS</t>
  </si>
  <si>
    <t xml:space="preserve">I7 155U </t>
  </si>
  <si>
    <t>1 TB (SSD)</t>
  </si>
  <si>
    <t>16 GB</t>
  </si>
  <si>
    <t>TPN-CA20</t>
  </si>
  <si>
    <t>WTYLE0A3JL0AJO</t>
  </si>
  <si>
    <t>HSA-A005K</t>
  </si>
  <si>
    <t>7CH5281DSL</t>
  </si>
  <si>
    <t>HSA-A011M</t>
  </si>
  <si>
    <t>6B8U6AA</t>
  </si>
  <si>
    <t>TPA-A001H</t>
  </si>
  <si>
    <t>7CH4290FLH</t>
  </si>
  <si>
    <t>MOUSEPAD</t>
  </si>
  <si>
    <t>GILMAR PEREZ</t>
  </si>
  <si>
    <t>CAMBIO DE LAPTOP + ACCESORIOS</t>
  </si>
  <si>
    <t>JANETH</t>
  </si>
  <si>
    <t>NONAJULCA GARROTE</t>
  </si>
  <si>
    <t>JEFE DE CONTABILIDAD</t>
  </si>
  <si>
    <t>PETAMLT0053</t>
  </si>
  <si>
    <t>5CD5401LXQ</t>
  </si>
  <si>
    <t>TPN-DA15</t>
  </si>
  <si>
    <t>WHRCU0EARLHI65</t>
  </si>
  <si>
    <t>7CH5281DSJ</t>
  </si>
  <si>
    <t>7CH4290FLC</t>
  </si>
  <si>
    <t>TATIANA ARACELI</t>
  </si>
  <si>
    <t>AYALA HIGINIO</t>
  </si>
  <si>
    <t>REPRESENTACIONES Y BACK OFFICE</t>
  </si>
  <si>
    <t>ASISTENTE DE FINANZAS LINEAS</t>
  </si>
  <si>
    <t>PETAMLT0058</t>
  </si>
  <si>
    <t>1H85341SSQ</t>
  </si>
  <si>
    <t>WTYLE0A3JKW38J</t>
  </si>
  <si>
    <t>7CH5281DSK</t>
  </si>
  <si>
    <t>LENOVO</t>
  </si>
  <si>
    <t>THINKVISION E24-30 FLAT</t>
  </si>
  <si>
    <t>VNABG0AY</t>
  </si>
  <si>
    <t>TAM-AF0068</t>
  </si>
  <si>
    <t>7CH4290FLG</t>
  </si>
  <si>
    <t>JAMMES ARELLANO</t>
  </si>
  <si>
    <t>MIRELLA LESLY</t>
  </si>
  <si>
    <t>YATACO TASAYCO</t>
  </si>
  <si>
    <t>SUPERVISOR DE GLOBALDESK</t>
  </si>
  <si>
    <t>PETAMLT0054</t>
  </si>
  <si>
    <t>1H85341ST1</t>
  </si>
  <si>
    <t>WHRCU0EARLHI4N</t>
  </si>
  <si>
    <t>7CH5281DSH</t>
  </si>
  <si>
    <t>7CH4290FLD</t>
  </si>
  <si>
    <t xml:space="preserve">FEDRA MILYA </t>
  </si>
  <si>
    <t>MILLA GARGATE</t>
  </si>
  <si>
    <t>AUXILIAR DE GESTION Y CONTROL</t>
  </si>
  <si>
    <t>PETAMLT0043</t>
  </si>
  <si>
    <t>S5CD5401LWH</t>
  </si>
  <si>
    <t>WHRCU0EARLHLEL</t>
  </si>
  <si>
    <t>7CH5163FGS</t>
  </si>
  <si>
    <t>VNABG095</t>
  </si>
  <si>
    <t>TAM-AF0067</t>
  </si>
  <si>
    <t>7CH4290GKM</t>
  </si>
  <si>
    <t xml:space="preserve">JAMMES ARELLANO </t>
  </si>
  <si>
    <t>DIANA LIZ</t>
  </si>
  <si>
    <t>VASQUEZ VALERIO</t>
  </si>
  <si>
    <t>ASISTENTE DE GESTION Y CONTROL</t>
  </si>
  <si>
    <t>PETAMLT0044</t>
  </si>
  <si>
    <t>5CD5401LX9</t>
  </si>
  <si>
    <t>WHRCU0EARLHI4P</t>
  </si>
  <si>
    <t>7CH5163FGR</t>
  </si>
  <si>
    <t>7CH4290FLB</t>
  </si>
  <si>
    <t>DARYEN FOSTER</t>
  </si>
  <si>
    <t>LAZARO PARDO</t>
  </si>
  <si>
    <t>AUXILIAR DE USER EXPERIENCE</t>
  </si>
  <si>
    <t>PETAMLT0035</t>
  </si>
  <si>
    <t>5CD5401LYT</t>
  </si>
  <si>
    <t>WHRCU0EARLHLFK</t>
  </si>
  <si>
    <t>7CH5281DSF</t>
  </si>
  <si>
    <t>VNABG0A8</t>
  </si>
  <si>
    <t>7CH4290FL9</t>
  </si>
  <si>
    <t>AGENCIA MARITIMA KENRICK S.A.</t>
  </si>
  <si>
    <t>LUGIUI YORDAN</t>
  </si>
  <si>
    <t>UGAZ NORIEGA</t>
  </si>
  <si>
    <t>REPRESENTACIONES Y BACKOFFICE</t>
  </si>
  <si>
    <t>CUSTOMER SERVICE</t>
  </si>
  <si>
    <t>PETAMLT0060</t>
  </si>
  <si>
    <t>5CD54105ZW</t>
  </si>
  <si>
    <t>WHRCU0EARLHLEE</t>
  </si>
  <si>
    <t>7CH5281DSM</t>
  </si>
  <si>
    <t>7CH4290H6M</t>
  </si>
  <si>
    <t>ULOG PERU S.A.</t>
  </si>
  <si>
    <t>GABRIEL HANS</t>
  </si>
  <si>
    <t>WAGNER URIBE</t>
  </si>
  <si>
    <t>ULOG</t>
  </si>
  <si>
    <t>PRACTICANTE</t>
  </si>
  <si>
    <t>PETAMLT0036</t>
  </si>
  <si>
    <t>Probook 440 15</t>
  </si>
  <si>
    <t>5CD5401LXY</t>
  </si>
  <si>
    <t>WHRRF0A3ULFGN9</t>
  </si>
  <si>
    <t>7CH5281DSN</t>
  </si>
  <si>
    <t>VNABG08N</t>
  </si>
  <si>
    <t>TAM-AF0105</t>
  </si>
  <si>
    <t>7CH4290FLQ</t>
  </si>
  <si>
    <t>NAYDELINE INES ARIANA</t>
  </si>
  <si>
    <t>MARCHENA CHAVEZ</t>
  </si>
  <si>
    <t>CUSTOMER SERVICE JUNIOR</t>
  </si>
  <si>
    <t>PETAMLT0034</t>
  </si>
  <si>
    <t>5CD5401LXP</t>
  </si>
  <si>
    <t>WHRCU0EARLHI4J</t>
  </si>
  <si>
    <t>7CH5163FGQ</t>
  </si>
  <si>
    <t>VNABG09F</t>
  </si>
  <si>
    <t>TAM-AF0055</t>
  </si>
  <si>
    <t>7CH4290GKN</t>
  </si>
  <si>
    <t>EVA BRUNELLA</t>
  </si>
  <si>
    <t>VALENCIA LEON</t>
  </si>
  <si>
    <t>PETAMLT0057</t>
  </si>
  <si>
    <t>5CD5401LVT</t>
  </si>
  <si>
    <t>WHRCU0EARLHI4O</t>
  </si>
  <si>
    <t>7CH5281DSP</t>
  </si>
  <si>
    <t>VNABG09Z</t>
  </si>
  <si>
    <t>TAM-AF0056</t>
  </si>
  <si>
    <t>7CH4290GKS</t>
  </si>
  <si>
    <t>ARMANDO VLADIMIR</t>
  </si>
  <si>
    <t>CARDENAS CORREA</t>
  </si>
  <si>
    <t>PETAMLT0059</t>
  </si>
  <si>
    <t>5CD5401LWT</t>
  </si>
  <si>
    <t>WHRCU0EARLHLFO</t>
  </si>
  <si>
    <t>7CH5163FGT</t>
  </si>
  <si>
    <t>VNABG0AR</t>
  </si>
  <si>
    <t>TAM-AF0061</t>
  </si>
  <si>
    <t>7CH4290FLP</t>
  </si>
  <si>
    <t>ERIKA FIORELLA</t>
  </si>
  <si>
    <t>CATIRRE CONTRERAS</t>
  </si>
  <si>
    <t>ANALISTA DE OPERACIONES</t>
  </si>
  <si>
    <t>PETAMLT0070</t>
  </si>
  <si>
    <t>5CD5401LXR</t>
  </si>
  <si>
    <t>WHRCU0EARLHLER</t>
  </si>
  <si>
    <t>7CH5281DSG</t>
  </si>
  <si>
    <t>VNABGDAV</t>
  </si>
  <si>
    <t>TAM-AF0059</t>
  </si>
  <si>
    <t>7CH4290GL7</t>
  </si>
  <si>
    <t xml:space="preserve">ABEL DAVID </t>
  </si>
  <si>
    <t>MONROY ALFARO</t>
  </si>
  <si>
    <t>ANALISTA DE OPERACIONES LOGISTICA</t>
  </si>
  <si>
    <t>PETAMLT0056</t>
  </si>
  <si>
    <t>5CD5401MOS</t>
  </si>
  <si>
    <t>WHRCU0EARLHI5Z</t>
  </si>
  <si>
    <t>7CH5281DSQ</t>
  </si>
  <si>
    <t>VNABG08H</t>
  </si>
  <si>
    <t>TAM-AF0060</t>
  </si>
  <si>
    <t>7CH4290GKQ</t>
  </si>
  <si>
    <t>FANNY BETZABE</t>
  </si>
  <si>
    <t>YACHACHIN ENCARNACION</t>
  </si>
  <si>
    <t>ASISTENTE DE DOCUMENTACION</t>
  </si>
  <si>
    <t>PETAMLT0074</t>
  </si>
  <si>
    <t>5CD5401M38</t>
  </si>
  <si>
    <t>WHRCU0EARLHLGH</t>
  </si>
  <si>
    <t>7CH5163FGX</t>
  </si>
  <si>
    <t>VNABG0B1</t>
  </si>
  <si>
    <t>TAM-AF0065</t>
  </si>
  <si>
    <t>7CH4290FLT</t>
  </si>
  <si>
    <t>ROMINA FABIOLA</t>
  </si>
  <si>
    <t>AMOROS ORE</t>
  </si>
  <si>
    <t>LEGAL</t>
  </si>
  <si>
    <t>ABOGADO CORPORATIVO &amp; PERMISOS</t>
  </si>
  <si>
    <t>PETAMLT0073</t>
  </si>
  <si>
    <t>5CD5401LWR</t>
  </si>
  <si>
    <t>WHRCU0EARLHi561</t>
  </si>
  <si>
    <t>7CH5163FGY</t>
  </si>
  <si>
    <t>7CH4290GKR</t>
  </si>
  <si>
    <t>EDUARDO DARIO</t>
  </si>
  <si>
    <t>PAREDES VIAYRADA</t>
  </si>
  <si>
    <t>CALLAO</t>
  </si>
  <si>
    <t>OPERACIONES</t>
  </si>
  <si>
    <t>SUBGERENTE DE OPERACIONES</t>
  </si>
  <si>
    <t>ASIGNACION</t>
  </si>
  <si>
    <t>PETAMLT0019</t>
  </si>
  <si>
    <t>5CD5401LVV</t>
  </si>
  <si>
    <t>WHRCU0EARLHI6P</t>
  </si>
  <si>
    <t>7CH5163FGV</t>
  </si>
  <si>
    <t>7CH4290GKW</t>
  </si>
  <si>
    <t>ASIGNACION DE EQUIPO</t>
  </si>
  <si>
    <t>MIGUEL YUNIOR</t>
  </si>
  <si>
    <t>SALAZAR PIMENTEL</t>
  </si>
  <si>
    <t>TACNA</t>
  </si>
  <si>
    <t>JEFE DE LOGISTICA CLU</t>
  </si>
  <si>
    <t>PETAMLT0022</t>
  </si>
  <si>
    <t>5CD5401LZR</t>
  </si>
  <si>
    <t>WHRCU0EARLHLEH</t>
  </si>
  <si>
    <t>7CH5163FGW</t>
  </si>
  <si>
    <t>7CH4290GKV</t>
  </si>
  <si>
    <t>ERNESTO LUIS</t>
  </si>
  <si>
    <t>SANTA CRUZ FLORES</t>
  </si>
  <si>
    <t>ANALISTA DE NEGOCIOS</t>
  </si>
  <si>
    <t>PETAMLT0003</t>
  </si>
  <si>
    <t>5CD5401M02</t>
  </si>
  <si>
    <t>WHRCU0EARLHI4Z</t>
  </si>
  <si>
    <t>7CH43452FY</t>
  </si>
  <si>
    <t>VNABG08W</t>
  </si>
  <si>
    <t>TAM-AF0044</t>
  </si>
  <si>
    <t>7CH4290FKT</t>
  </si>
  <si>
    <t>AHSLY NICOLE</t>
  </si>
  <si>
    <t>CORNEJO HUATUCO</t>
  </si>
  <si>
    <t>PROYECTOS</t>
  </si>
  <si>
    <t>AUXILIAR DE PROCESOS FINANCIEROS</t>
  </si>
  <si>
    <t>PETAMLT0069</t>
  </si>
  <si>
    <t>5CD5401LVQ</t>
  </si>
  <si>
    <t>WHRCU0EARLHI4X</t>
  </si>
  <si>
    <t>7CH5163FGZ</t>
  </si>
  <si>
    <t>VNABG0A4</t>
  </si>
  <si>
    <t>TAM-AF0093</t>
  </si>
  <si>
    <t>7CH4290FKP</t>
  </si>
  <si>
    <t>REYSER</t>
  </si>
  <si>
    <t>RIOS VELA</t>
  </si>
  <si>
    <t>ANALISTA JUNIOR DE GESTION Y CONTROL</t>
  </si>
  <si>
    <t>PETAMLT0071</t>
  </si>
  <si>
    <t>1H85341SSH</t>
  </si>
  <si>
    <t>WTYLE0A3JKWOGD</t>
  </si>
  <si>
    <t>7CH5163FH0</t>
  </si>
  <si>
    <t>VNABG0B4</t>
  </si>
  <si>
    <t>TAM-AF0042</t>
  </si>
  <si>
    <t>7CH4290FKN</t>
  </si>
  <si>
    <t xml:space="preserve">ANDREA </t>
  </si>
  <si>
    <t>COBBA CUNEO</t>
  </si>
  <si>
    <t>LINE MANAGER</t>
  </si>
  <si>
    <t>PETAMLT0068</t>
  </si>
  <si>
    <t>5CD540L1YQ</t>
  </si>
  <si>
    <t>WHRCU0EARLHLE1</t>
  </si>
  <si>
    <t>7CH43452FW</t>
  </si>
  <si>
    <t>VNABG0AO</t>
  </si>
  <si>
    <t>TAM-AF0057</t>
  </si>
  <si>
    <t>7CH4290GKT</t>
  </si>
  <si>
    <t>LARK ANDY</t>
  </si>
  <si>
    <t>DELGADO VEGA</t>
  </si>
  <si>
    <t>AUXILIAR DE DOCUMENTACION</t>
  </si>
  <si>
    <t>PETAMLT0037</t>
  </si>
  <si>
    <t>5CD5401LZ8</t>
  </si>
  <si>
    <t>WHRCU0EARLHLGF</t>
  </si>
  <si>
    <t>7CH43452FV</t>
  </si>
  <si>
    <t>VNABG0AG</t>
  </si>
  <si>
    <t>TAM-AF0062</t>
  </si>
  <si>
    <t>7CH4290FLN</t>
  </si>
  <si>
    <t>CESAR GABRIEL</t>
  </si>
  <si>
    <t>QUISPE QUISPE</t>
  </si>
  <si>
    <t>LIDER DE PROYECTOS</t>
  </si>
  <si>
    <t>PETAMLT0021</t>
  </si>
  <si>
    <t>5CD5401LWV</t>
  </si>
  <si>
    <t>WHRCU0EARLHI5Q</t>
  </si>
  <si>
    <t>7CH43452FX</t>
  </si>
  <si>
    <t>VNABG0AK</t>
  </si>
  <si>
    <t>TAM-AF0045</t>
  </si>
  <si>
    <t>7CH4290FKR</t>
  </si>
  <si>
    <t>MARIA ISABEL</t>
  </si>
  <si>
    <t>TOCTO CAMPOVERDE</t>
  </si>
  <si>
    <t>COMERCIAL</t>
  </si>
  <si>
    <t>PETAMLT0067</t>
  </si>
  <si>
    <t>5CD5401LZ2</t>
  </si>
  <si>
    <t>WHRCU0EARLHLF9</t>
  </si>
  <si>
    <t>7CH43452FP</t>
  </si>
  <si>
    <t>VNABG0B8</t>
  </si>
  <si>
    <t>TAM-AF0064</t>
  </si>
  <si>
    <t>7CH4290FKS</t>
  </si>
  <si>
    <t xml:space="preserve">ROSANGEL </t>
  </si>
  <si>
    <t>BEDOYA SERVAT</t>
  </si>
  <si>
    <t>ANALISTA DE PRICING</t>
  </si>
  <si>
    <t>PETAMLT0072</t>
  </si>
  <si>
    <t>5CD5401LVZ</t>
  </si>
  <si>
    <t>WHRCU0EARLHI5Y</t>
  </si>
  <si>
    <t>7CH43452FZ</t>
  </si>
  <si>
    <t>VNABG0B5</t>
  </si>
  <si>
    <t>TAM-AF0047</t>
  </si>
  <si>
    <t>7CH4290FKQ</t>
  </si>
  <si>
    <t>DANTE NESTOR</t>
  </si>
  <si>
    <t>CUETO LA ROSA</t>
  </si>
  <si>
    <t>EJECUTIVO COMERCIAL</t>
  </si>
  <si>
    <t>PETAMLT0075</t>
  </si>
  <si>
    <t>5CD5401M0Q</t>
  </si>
  <si>
    <t>WHRCU0EARLHISE</t>
  </si>
  <si>
    <t>7CH43452FR</t>
  </si>
  <si>
    <t>VNABG0AF</t>
  </si>
  <si>
    <t>TAM-AF0052</t>
  </si>
  <si>
    <t>7CH4290FL6</t>
  </si>
  <si>
    <t xml:space="preserve">MACARENA </t>
  </si>
  <si>
    <t>VENTURA PEDREROS</t>
  </si>
  <si>
    <t>PETAMLT0023</t>
  </si>
  <si>
    <t>1H85341STR</t>
  </si>
  <si>
    <t>TPN-CA2O</t>
  </si>
  <si>
    <t>WTYLE0A3JKW0GH</t>
  </si>
  <si>
    <t>7CH43452FQ</t>
  </si>
  <si>
    <t>VNABG09Y</t>
  </si>
  <si>
    <t>TAM-AF0048</t>
  </si>
  <si>
    <t>7CH4290FKW</t>
  </si>
  <si>
    <t xml:space="preserve">KATHERINE YASMIN </t>
  </si>
  <si>
    <t>REQUE FERNANDEZ</t>
  </si>
  <si>
    <t>GERENTE DE OPERACIONES</t>
  </si>
  <si>
    <t>PETAMLT0049</t>
  </si>
  <si>
    <t>1H85342VDL</t>
  </si>
  <si>
    <t>WTYLE0A3JL0GR5</t>
  </si>
  <si>
    <t>7CH43452F2</t>
  </si>
  <si>
    <t>VNABG08K</t>
  </si>
  <si>
    <t>TAM-AF0046</t>
  </si>
  <si>
    <t>7CH4290FL8</t>
  </si>
  <si>
    <t>BRISA ISABEL</t>
  </si>
  <si>
    <t>BENDEZU NAVARRETE</t>
  </si>
  <si>
    <t>PETAMLT0050</t>
  </si>
  <si>
    <t>5CD5401LZG</t>
  </si>
  <si>
    <t>WHRCU0EARLHLE8</t>
  </si>
  <si>
    <t>7CH43452FS</t>
  </si>
  <si>
    <t>VNABG0BH</t>
  </si>
  <si>
    <t>TAM-AF0053</t>
  </si>
  <si>
    <t>7CH4290FLM</t>
  </si>
  <si>
    <t>ARNALDO OLIVER</t>
  </si>
  <si>
    <t>CORDOVA CARRASCAL</t>
  </si>
  <si>
    <t>EJECUTIVO COMERCIAL JUNIOR</t>
  </si>
  <si>
    <t>PETAMLT0025</t>
  </si>
  <si>
    <t>5CD5401LW8</t>
  </si>
  <si>
    <t>WHRCU0EARLHLFU</t>
  </si>
  <si>
    <t>7CH5163BXH</t>
  </si>
  <si>
    <t>VANBG0A9</t>
  </si>
  <si>
    <t>TAM-AF0050</t>
  </si>
  <si>
    <t>7CH4290FL7</t>
  </si>
  <si>
    <t>JOAQUIN ANTERO</t>
  </si>
  <si>
    <t>JARA MONCADA</t>
  </si>
  <si>
    <t>ASISTENTE DE CONTABILIDAD</t>
  </si>
  <si>
    <t>PETAMLT0064</t>
  </si>
  <si>
    <t>1H85341ST5</t>
  </si>
  <si>
    <t>WTYLE0A3JKWOZV</t>
  </si>
  <si>
    <t>7CH5163BXG</t>
  </si>
  <si>
    <t>VNABG0B2</t>
  </si>
  <si>
    <t>TAM-AF0102</t>
  </si>
  <si>
    <t>7CH4290FKV</t>
  </si>
  <si>
    <t xml:space="preserve">ARASELLI </t>
  </si>
  <si>
    <t>APAZA DONAYRE</t>
  </si>
  <si>
    <t>ANALISTA DE CONTABILIDAD</t>
  </si>
  <si>
    <t>PETAMLT0024</t>
  </si>
  <si>
    <t>5CD5401LYZ</t>
  </si>
  <si>
    <t>WTYLE0A3JKWOGX</t>
  </si>
  <si>
    <t>7CH5163BXN</t>
  </si>
  <si>
    <t>VNABG0BY</t>
  </si>
  <si>
    <t>TAM-AF0099</t>
  </si>
  <si>
    <t>7CH4290FL5</t>
  </si>
  <si>
    <t xml:space="preserve">LUIS ALONSO </t>
  </si>
  <si>
    <t>GUTIERREZ GILBONIO</t>
  </si>
  <si>
    <t>PETAMLT0005</t>
  </si>
  <si>
    <t>5CD5401LVY</t>
  </si>
  <si>
    <t>WHRCU0EARLHLEX</t>
  </si>
  <si>
    <t>7CH5163BXC</t>
  </si>
  <si>
    <t>VNABG0AM</t>
  </si>
  <si>
    <t>TAM-AF0097</t>
  </si>
  <si>
    <t>7CH4290FL4</t>
  </si>
  <si>
    <t xml:space="preserve">DANILO </t>
  </si>
  <si>
    <t>HENRIQUEZ PALACIOS</t>
  </si>
  <si>
    <t>PETAMLT0026</t>
  </si>
  <si>
    <t>1H85341STW</t>
  </si>
  <si>
    <t>WHRCU0EARLHI4E</t>
  </si>
  <si>
    <t>7CH5163BXF</t>
  </si>
  <si>
    <t>VNABG0AN</t>
  </si>
  <si>
    <t>TAM-AF0041</t>
  </si>
  <si>
    <t>7CH4290FKY</t>
  </si>
  <si>
    <t>MELISSA MARINA</t>
  </si>
  <si>
    <t>GARAY MURGUIA</t>
  </si>
  <si>
    <t>GAF</t>
  </si>
  <si>
    <t>ANALISTA SENIOR DE GESTION FINANCIERA</t>
  </si>
  <si>
    <t>PETAMLT0004</t>
  </si>
  <si>
    <t>5CD5401LX6</t>
  </si>
  <si>
    <t>WHRCU0EARLHLG5</t>
  </si>
  <si>
    <t>7CH5163BXM</t>
  </si>
  <si>
    <t>VNABG09X</t>
  </si>
  <si>
    <t>TAM-AF0094</t>
  </si>
  <si>
    <t>7CH4290FL2</t>
  </si>
  <si>
    <t>CRISTIAN DAVID</t>
  </si>
  <si>
    <t>TINCO BELLIDO</t>
  </si>
  <si>
    <t>AUXILIAR COMERCIAL</t>
  </si>
  <si>
    <t>PETAMLT0002</t>
  </si>
  <si>
    <t>1H85341SV6</t>
  </si>
  <si>
    <t>WHRCU0EARLHLES</t>
  </si>
  <si>
    <t>7CH5163BXL</t>
  </si>
  <si>
    <t>VNABG0A7</t>
  </si>
  <si>
    <t>TAM-AF0051</t>
  </si>
  <si>
    <t>7CH4290FL3</t>
  </si>
  <si>
    <t>HERNAN</t>
  </si>
  <si>
    <t>MARIN HILARI</t>
  </si>
  <si>
    <t>PETAMLT0015</t>
  </si>
  <si>
    <t>1H85342VDF</t>
  </si>
  <si>
    <t>WTYLE0A3JKWOZX</t>
  </si>
  <si>
    <t>7CH5163BXK</t>
  </si>
  <si>
    <t>VNABG094</t>
  </si>
  <si>
    <t>TAM-AF0096</t>
  </si>
  <si>
    <t>7CH4290FL0</t>
  </si>
  <si>
    <t>ROXANA FLOR</t>
  </si>
  <si>
    <t>CASTILLO VARGAS</t>
  </si>
  <si>
    <t>PETAMLT0006</t>
  </si>
  <si>
    <t>5CD5401M2L</t>
  </si>
  <si>
    <t>WTYLE0A3JL0GNK</t>
  </si>
  <si>
    <t>7CH5163BXJ</t>
  </si>
  <si>
    <t>VNABG0BB</t>
  </si>
  <si>
    <t>TAM-AF0101</t>
  </si>
  <si>
    <t>7CH4290FL1</t>
  </si>
  <si>
    <t>DARIANA JHULIE</t>
  </si>
  <si>
    <t>CARDENAS TAPARI</t>
  </si>
  <si>
    <t>PRACTICANTE DE CONTABILIDAD</t>
  </si>
  <si>
    <t>PETAMLT0001</t>
  </si>
  <si>
    <t>5CD5401LXS</t>
  </si>
  <si>
    <t>WHRCU0EARLHI4I</t>
  </si>
  <si>
    <t>7CH5163BXD</t>
  </si>
  <si>
    <t>VNABG080</t>
  </si>
  <si>
    <t>TAM-AF0103</t>
  </si>
  <si>
    <t>FABRIZZIO PAOLO</t>
  </si>
  <si>
    <t>CONCHA HERNANDEZ</t>
  </si>
  <si>
    <t>TESORERIA</t>
  </si>
  <si>
    <t>PRACTICANTE DE ADMINISTRADCION Y TESORERIA</t>
  </si>
  <si>
    <t>PETAMLT0065</t>
  </si>
  <si>
    <t>5CD5401LZQ</t>
  </si>
  <si>
    <t>WHRCU0EARLHI6F</t>
  </si>
  <si>
    <t>7CH5163BX4</t>
  </si>
  <si>
    <t>VNABG0B9</t>
  </si>
  <si>
    <t>TAM-AF0087</t>
  </si>
  <si>
    <t>7CH4290GL5</t>
  </si>
  <si>
    <t>STEFANNY LIZ</t>
  </si>
  <si>
    <t>POMACHAGUA YALI</t>
  </si>
  <si>
    <t>ASISTENTE DE ADMINISTRACION</t>
  </si>
  <si>
    <t>PETAMLT0066</t>
  </si>
  <si>
    <t>5CD5401LXL</t>
  </si>
  <si>
    <t>WHRCU0EARLHLE2</t>
  </si>
  <si>
    <t>7CH5163BX5</t>
  </si>
  <si>
    <t> </t>
  </si>
  <si>
    <t>7CH4290GKP</t>
  </si>
  <si>
    <t>JACKELINE FRANCESCA</t>
  </si>
  <si>
    <t>SUAREZ OBANDO</t>
  </si>
  <si>
    <t>ASISTENTE DE TESORERIA</t>
  </si>
  <si>
    <t>PETAMLT0062</t>
  </si>
  <si>
    <t>5CD5401LZJ</t>
  </si>
  <si>
    <t>WHRCU0EARLHI62</t>
  </si>
  <si>
    <t>7CH5163BX3</t>
  </si>
  <si>
    <t>VNABG0AZ</t>
  </si>
  <si>
    <t>TAM-AF0086</t>
  </si>
  <si>
    <t>7CH4290GL6</t>
  </si>
  <si>
    <t>LIZBETH ARACELI</t>
  </si>
  <si>
    <t>GUERRA SALCEDO</t>
  </si>
  <si>
    <t>ANALISTA DE TESORERIA Y ADMINISTRACION</t>
  </si>
  <si>
    <t>PETAMLT0052</t>
  </si>
  <si>
    <t>VNABG09L</t>
  </si>
  <si>
    <t>TAM-AF0085</t>
  </si>
  <si>
    <t>TESSY ESTEFANIE</t>
  </si>
  <si>
    <t>ARRUNATEGUI CASTRO</t>
  </si>
  <si>
    <t>SUPERVISOR DE TESORERIA</t>
  </si>
  <si>
    <t>PETAMLT0008</t>
  </si>
  <si>
    <t>WHRCU0EARLHI6B</t>
  </si>
  <si>
    <t>7CH5163BX2</t>
  </si>
  <si>
    <t>VNABG0A6</t>
  </si>
  <si>
    <t>TAM-AF0088</t>
  </si>
  <si>
    <t>7CH4290GL3</t>
  </si>
  <si>
    <t>Registro de equipos en stock</t>
  </si>
  <si>
    <t>Fecha de Actualización:</t>
  </si>
  <si>
    <t>Alcance:</t>
  </si>
  <si>
    <t>DATOS DEL EQUIPO INFORMÁTICO</t>
  </si>
  <si>
    <t>ITEM_REG</t>
  </si>
  <si>
    <t>ID EQUIPO</t>
  </si>
  <si>
    <t>TIPO EQUIPO</t>
  </si>
  <si>
    <t>HOSTNAME</t>
  </si>
  <si>
    <t>DOMINIO</t>
  </si>
  <si>
    <t>TIPO DE ASIGNACIÓN</t>
  </si>
  <si>
    <t>MARCA PC</t>
  </si>
  <si>
    <t>MODELO PC</t>
  </si>
  <si>
    <t>NRO. SERIE PC</t>
  </si>
  <si>
    <t>PROCESADOR PC</t>
  </si>
  <si>
    <t>PROCESADOR PC DESCRIPCIÓN</t>
  </si>
  <si>
    <t>DISCO DURO  PC</t>
  </si>
  <si>
    <t>RAM PC</t>
  </si>
  <si>
    <t>CARGADOR PC (n/s)</t>
  </si>
  <si>
    <t>MAC LAN PC</t>
  </si>
  <si>
    <t>MAC WIFI PC</t>
  </si>
  <si>
    <t>NRO. RQ PC</t>
  </si>
  <si>
    <t>FE INI GARANTIA PC</t>
  </si>
  <si>
    <t>FE FIN GARANTIA PC</t>
  </si>
  <si>
    <t>DIAS REST. GARANT. PC</t>
  </si>
  <si>
    <t>ESTADO GARANT. PC</t>
  </si>
  <si>
    <t>ESTADO PC</t>
  </si>
  <si>
    <t>NRO. FACTURA PC</t>
  </si>
  <si>
    <t>ANTIGÜEDAD PC</t>
  </si>
  <si>
    <t>NRO. CONTRATO PC</t>
  </si>
  <si>
    <t>USUARIO ANTERIOR</t>
  </si>
  <si>
    <t>PARA BAJA</t>
  </si>
  <si>
    <t>FE_MOD_REG</t>
  </si>
  <si>
    <t>COMENTARIO</t>
  </si>
  <si>
    <t>ANEXO</t>
  </si>
  <si>
    <t>GRANDSTREAM</t>
  </si>
  <si>
    <t>GXP1630</t>
  </si>
  <si>
    <t>20EZ0XUJ20D2B00F</t>
  </si>
  <si>
    <t>JEFE LOGISTICA</t>
  </si>
  <si>
    <t>GXP2130</t>
  </si>
  <si>
    <t>20EYZK0J70E268E3</t>
  </si>
  <si>
    <t>GERENTE COMERCIAL</t>
  </si>
  <si>
    <t>GXP1628</t>
  </si>
  <si>
    <t>22MT9YDHA0C42DA7</t>
  </si>
  <si>
    <t>AREA TRAFICO</t>
  </si>
  <si>
    <t>CTL2020-014</t>
  </si>
  <si>
    <t>HOLDING.COM</t>
  </si>
  <si>
    <t>PRINCIPAL</t>
  </si>
  <si>
    <t>E590</t>
  </si>
  <si>
    <t>PF2CY5AM</t>
  </si>
  <si>
    <t>INTEL CORE I7 8 GEN</t>
  </si>
  <si>
    <t>INTEL(R) CORE(TM) I7-8565U CPU @ 1.80GHZ (1992 MHZ)</t>
  </si>
  <si>
    <t>500 GB (SSD)</t>
  </si>
  <si>
    <t>ADLX65YCC2D</t>
  </si>
  <si>
    <t>002B67AD502A</t>
  </si>
  <si>
    <t>F8AC65FAF9D3</t>
  </si>
  <si>
    <t>OPERATIVO</t>
  </si>
  <si>
    <t>FAFF01-00002208</t>
  </si>
  <si>
    <t>WALTER OLIVA</t>
  </si>
  <si>
    <t>CTL2020-017</t>
  </si>
  <si>
    <t>L590</t>
  </si>
  <si>
    <t>PF2D01KZ</t>
  </si>
  <si>
    <t>INTEL(R) CORE(TM) I7-8565U CPU @ 1.80GHZ (2001 MHZ)</t>
  </si>
  <si>
    <t>002B67AD50FA</t>
  </si>
  <si>
    <t>F8AC65F9E714</t>
  </si>
  <si>
    <t>FAFF01-00002241</t>
  </si>
  <si>
    <t>LUIS SOLORZANO</t>
  </si>
  <si>
    <t>ASISTENTE DE PROYECTOS</t>
  </si>
  <si>
    <t>DESKTOP-USI46Q4</t>
  </si>
  <si>
    <t>PROBOOK 450 G2</t>
  </si>
  <si>
    <t>CND5217T96</t>
  </si>
  <si>
    <t>INTEL CORE I5 4 GEN</t>
  </si>
  <si>
    <t>INTEL(R) CORE(TM) I5-4210U CPU @ 1.70GHZ (1992 MHZ)</t>
  </si>
  <si>
    <t>1 TB  (HDD)</t>
  </si>
  <si>
    <t>HP PPP009C</t>
  </si>
  <si>
    <t>308D9967D6C0</t>
  </si>
  <si>
    <t>D85DE2390A31</t>
  </si>
  <si>
    <t>INOPERATIVO</t>
  </si>
  <si>
    <t>RODOLFO DÍAZ</t>
  </si>
  <si>
    <t>S</t>
  </si>
  <si>
    <t>SUPERVISOR DE SEGURIDAD</t>
  </si>
  <si>
    <t>PENDIENTE DE ENVIAR DE PATIVILCA A FECHA 16/03/2021</t>
  </si>
  <si>
    <t>LOGITECH</t>
  </si>
  <si>
    <t>M185</t>
  </si>
  <si>
    <t>1552LZ0H4UF8</t>
  </si>
  <si>
    <t>MOUSE NO TIENE CONECTOR USB</t>
  </si>
  <si>
    <t>Registro de Accesorios</t>
  </si>
  <si>
    <t>DATA</t>
  </si>
  <si>
    <t>DATOS DE UBICACIÓN DEL EQUIPO</t>
  </si>
  <si>
    <t>COMPLEMENTARIOS</t>
  </si>
  <si>
    <t>FE_REGISTRO</t>
  </si>
  <si>
    <t>DESCRIPCIÓN</t>
  </si>
  <si>
    <t>CATEGORÍA</t>
  </si>
  <si>
    <t>DIRECCIÓN IP</t>
  </si>
  <si>
    <t>UBICACIÓN</t>
  </si>
  <si>
    <t>DEPARTAMENTO</t>
  </si>
  <si>
    <t>PROVINCIA</t>
  </si>
  <si>
    <t>DISTRITO</t>
  </si>
  <si>
    <t>DIRECCION</t>
  </si>
  <si>
    <t>PROVEEDOR</t>
  </si>
  <si>
    <t>ESTADO</t>
  </si>
  <si>
    <t>COMENTARIOS</t>
  </si>
  <si>
    <t>SAUCES</t>
  </si>
  <si>
    <t>LIMA</t>
  </si>
  <si>
    <t>ATE</t>
  </si>
  <si>
    <t>AV. SANTA CECILIA NRO. 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</si>
</sst>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/m/yyyy"/>
    <numFmt numFmtId="165" formatCode="mmmm\ \-\ yyyy"/>
    <numFmt numFmtId="166" formatCode="0\ &quot;AÑOS&quot;"/>
    <numFmt numFmtId="167" formatCode="[$-1540A]m/d/yyyy"/>
  </numFmts>
  <fonts count="3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Times New Roman"/>
      <family val="1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2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1"/>
      <name val="Verdana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BFBFBF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sz val="14"/>
      <color rgb="FF00B0F0"/>
      <name val="Calibri"/>
      <family val="2"/>
    </font>
    <font>
      <b/>
      <sz val="16"/>
      <color rgb="FF00B0F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Verdana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rgb="FFD9E2F3"/>
        <bgColor rgb="FFD9E2F3"/>
      </patternFill>
    </fill>
    <fill>
      <patternFill patternType="solid">
        <fgColor rgb="FFCCFFFF"/>
        <bgColor rgb="FFCC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B0F0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4" xfId="0" applyFont="1" applyBorder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0" fontId="2" fillId="0" borderId="5" xfId="0" applyFont="1" applyBorder="1"/>
    <xf numFmtId="0" fontId="8" fillId="0" borderId="0" xfId="0" applyFont="1"/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top" wrapText="1"/>
    </xf>
    <xf numFmtId="0" fontId="2" fillId="0" borderId="4" xfId="0" applyFont="1" applyBorder="1"/>
    <xf numFmtId="0" fontId="9" fillId="0" borderId="0" xfId="0" applyFont="1" applyAlignment="1">
      <alignment horizontal="right" vertical="top" wrapText="1"/>
    </xf>
    <xf numFmtId="0" fontId="10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1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1" fontId="13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0" fontId="10" fillId="0" borderId="0" xfId="0" applyFont="1"/>
    <xf numFmtId="0" fontId="11" fillId="0" borderId="14" xfId="0" applyFont="1" applyBorder="1" applyAlignment="1">
      <alignment horizontal="center" wrapText="1"/>
    </xf>
    <xf numFmtId="0" fontId="15" fillId="0" borderId="5" xfId="0" applyFont="1" applyBorder="1" applyAlignment="1">
      <alignment horizontal="center"/>
    </xf>
    <xf numFmtId="0" fontId="11" fillId="0" borderId="0" xfId="0" applyFont="1" applyAlignment="1">
      <alignment vertical="center" wrapText="1"/>
    </xf>
    <xf numFmtId="0" fontId="7" fillId="0" borderId="14" xfId="0" applyFont="1" applyBorder="1" applyAlignment="1">
      <alignment horizontal="center" wrapText="1"/>
    </xf>
    <xf numFmtId="0" fontId="16" fillId="0" borderId="0" xfId="0" applyFont="1" applyAlignment="1">
      <alignment horizontal="left"/>
    </xf>
    <xf numFmtId="0" fontId="3" fillId="0" borderId="0" xfId="0" applyFont="1"/>
    <xf numFmtId="0" fontId="17" fillId="0" borderId="0" xfId="0" applyFont="1" applyAlignment="1">
      <alignment horizontal="left"/>
    </xf>
    <xf numFmtId="49" fontId="9" fillId="0" borderId="0" xfId="0" applyNumberFormat="1" applyFont="1" applyAlignment="1">
      <alignment vertical="top" wrapText="1"/>
    </xf>
    <xf numFmtId="49" fontId="14" fillId="0" borderId="0" xfId="0" applyNumberFormat="1" applyFont="1" applyAlignment="1">
      <alignment vertical="top" wrapText="1"/>
    </xf>
    <xf numFmtId="164" fontId="10" fillId="0" borderId="0" xfId="0" applyNumberFormat="1" applyFont="1" applyAlignment="1">
      <alignment horizontal="left" vertical="top"/>
    </xf>
    <xf numFmtId="49" fontId="14" fillId="0" borderId="0" xfId="0" applyNumberFormat="1" applyFont="1" applyAlignment="1">
      <alignment horizontal="center" vertical="top" wrapText="1"/>
    </xf>
    <xf numFmtId="49" fontId="9" fillId="0" borderId="0" xfId="0" applyNumberFormat="1" applyFont="1" applyAlignment="1">
      <alignment horizontal="center" vertical="top" wrapText="1"/>
    </xf>
    <xf numFmtId="0" fontId="18" fillId="0" borderId="0" xfId="0" applyFont="1"/>
    <xf numFmtId="0" fontId="18" fillId="0" borderId="4" xfId="0" applyFont="1" applyBorder="1"/>
    <xf numFmtId="0" fontId="13" fillId="0" borderId="0" xfId="0" applyFont="1" applyAlignment="1">
      <alignment horizontal="center"/>
    </xf>
    <xf numFmtId="0" fontId="7" fillId="0" borderId="0" xfId="0" applyFont="1"/>
    <xf numFmtId="0" fontId="13" fillId="0" borderId="0" xfId="0" applyFont="1" applyAlignment="1">
      <alignment horizontal="left"/>
    </xf>
    <xf numFmtId="0" fontId="18" fillId="0" borderId="5" xfId="0" applyFont="1" applyBorder="1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 vertical="top"/>
    </xf>
    <xf numFmtId="49" fontId="22" fillId="0" borderId="0" xfId="0" applyNumberFormat="1" applyFont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164" fontId="22" fillId="0" borderId="0" xfId="0" applyNumberFormat="1" applyFont="1" applyAlignment="1">
      <alignment horizontal="left" vertical="center"/>
    </xf>
    <xf numFmtId="1" fontId="22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164" fontId="22" fillId="0" borderId="27" xfId="0" applyNumberFormat="1" applyFont="1" applyBorder="1" applyAlignment="1">
      <alignment horizontal="left" vertical="center"/>
    </xf>
    <xf numFmtId="164" fontId="22" fillId="0" borderId="27" xfId="0" applyNumberFormat="1" applyFont="1" applyBorder="1" applyAlignment="1">
      <alignment horizontal="center" vertical="center"/>
    </xf>
    <xf numFmtId="49" fontId="22" fillId="0" borderId="27" xfId="0" applyNumberFormat="1" applyFont="1" applyBorder="1" applyAlignment="1">
      <alignment horizontal="left" vertical="center"/>
    </xf>
    <xf numFmtId="0" fontId="22" fillId="0" borderId="27" xfId="0" applyFont="1" applyBorder="1" applyAlignment="1">
      <alignment horizontal="left" vertical="center"/>
    </xf>
    <xf numFmtId="1" fontId="22" fillId="0" borderId="27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166" fontId="22" fillId="0" borderId="27" xfId="0" applyNumberFormat="1" applyFont="1" applyBorder="1" applyAlignment="1">
      <alignment horizontal="center" vertical="center"/>
    </xf>
    <xf numFmtId="49" fontId="22" fillId="0" borderId="31" xfId="0" applyNumberFormat="1" applyFont="1" applyBorder="1" applyAlignment="1">
      <alignment horizontal="left" vertical="center"/>
    </xf>
    <xf numFmtId="0" fontId="22" fillId="0" borderId="31" xfId="0" applyFont="1" applyBorder="1" applyAlignment="1">
      <alignment horizontal="left" vertical="center"/>
    </xf>
    <xf numFmtId="164" fontId="22" fillId="0" borderId="31" xfId="0" applyNumberFormat="1" applyFont="1" applyBorder="1" applyAlignment="1">
      <alignment horizontal="left" vertical="center"/>
    </xf>
    <xf numFmtId="0" fontId="22" fillId="0" borderId="29" xfId="0" applyFont="1" applyBorder="1" applyAlignment="1">
      <alignment horizontal="center" vertical="center"/>
    </xf>
    <xf numFmtId="49" fontId="22" fillId="0" borderId="27" xfId="0" applyNumberFormat="1" applyFont="1" applyBorder="1" applyAlignment="1">
      <alignment horizontal="center" vertical="center"/>
    </xf>
    <xf numFmtId="49" fontId="26" fillId="0" borderId="27" xfId="0" applyNumberFormat="1" applyFont="1" applyBorder="1" applyAlignment="1">
      <alignment horizontal="left" vertical="center"/>
    </xf>
    <xf numFmtId="0" fontId="23" fillId="3" borderId="34" xfId="0" applyFont="1" applyFill="1" applyBorder="1" applyAlignment="1">
      <alignment vertical="center"/>
    </xf>
    <xf numFmtId="166" fontId="22" fillId="0" borderId="31" xfId="0" applyNumberFormat="1" applyFont="1" applyBorder="1" applyAlignment="1">
      <alignment horizontal="left" vertical="center"/>
    </xf>
    <xf numFmtId="166" fontId="22" fillId="0" borderId="27" xfId="0" applyNumberFormat="1" applyFont="1" applyBorder="1" applyAlignment="1">
      <alignment horizontal="left" vertical="center"/>
    </xf>
    <xf numFmtId="0" fontId="22" fillId="0" borderId="32" xfId="0" applyFont="1" applyBorder="1" applyAlignment="1">
      <alignment horizontal="left" vertical="center"/>
    </xf>
    <xf numFmtId="0" fontId="22" fillId="0" borderId="32" xfId="0" applyFont="1" applyBorder="1" applyAlignment="1">
      <alignment horizontal="center" vertical="center"/>
    </xf>
    <xf numFmtId="49" fontId="25" fillId="0" borderId="32" xfId="0" applyNumberFormat="1" applyFont="1" applyBorder="1" applyAlignment="1">
      <alignment horizontal="left" vertical="center"/>
    </xf>
    <xf numFmtId="164" fontId="25" fillId="0" borderId="32" xfId="0" applyNumberFormat="1" applyFont="1" applyBorder="1" applyAlignment="1">
      <alignment horizontal="left" vertical="center"/>
    </xf>
    <xf numFmtId="0" fontId="22" fillId="0" borderId="33" xfId="0" applyFont="1" applyBorder="1" applyAlignment="1">
      <alignment horizontal="center" vertical="center"/>
    </xf>
    <xf numFmtId="1" fontId="22" fillId="0" borderId="31" xfId="0" applyNumberFormat="1" applyFont="1" applyBorder="1" applyAlignment="1">
      <alignment horizontal="center" vertical="center"/>
    </xf>
    <xf numFmtId="1" fontId="22" fillId="0" borderId="32" xfId="0" applyNumberFormat="1" applyFont="1" applyBorder="1" applyAlignment="1">
      <alignment horizontal="left" vertical="center"/>
    </xf>
    <xf numFmtId="1" fontId="22" fillId="0" borderId="32" xfId="0" applyNumberFormat="1" applyFont="1" applyBorder="1" applyAlignment="1">
      <alignment horizontal="center" vertical="center"/>
    </xf>
    <xf numFmtId="1" fontId="22" fillId="0" borderId="31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0" fontId="22" fillId="0" borderId="31" xfId="0" applyFont="1" applyBorder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166" fontId="22" fillId="0" borderId="31" xfId="0" applyNumberFormat="1" applyFont="1" applyBorder="1" applyAlignment="1">
      <alignment horizontal="center" vertical="center"/>
    </xf>
    <xf numFmtId="164" fontId="22" fillId="0" borderId="31" xfId="0" applyNumberFormat="1" applyFont="1" applyBorder="1" applyAlignment="1">
      <alignment horizontal="center" vertical="center"/>
    </xf>
    <xf numFmtId="166" fontId="25" fillId="0" borderId="32" xfId="0" applyNumberFormat="1" applyFont="1" applyBorder="1" applyAlignment="1">
      <alignment horizontal="center" vertical="center"/>
    </xf>
    <xf numFmtId="164" fontId="25" fillId="0" borderId="0" xfId="0" applyNumberFormat="1" applyFont="1" applyAlignment="1">
      <alignment horizontal="left" vertical="center"/>
    </xf>
    <xf numFmtId="49" fontId="25" fillId="0" borderId="31" xfId="0" applyNumberFormat="1" applyFont="1" applyBorder="1" applyAlignment="1">
      <alignment horizontal="left" vertical="center"/>
    </xf>
    <xf numFmtId="166" fontId="22" fillId="0" borderId="32" xfId="0" applyNumberFormat="1" applyFont="1" applyBorder="1" applyAlignment="1">
      <alignment horizontal="center" vertical="center"/>
    </xf>
    <xf numFmtId="0" fontId="23" fillId="9" borderId="34" xfId="0" applyFont="1" applyFill="1" applyBorder="1" applyAlignment="1">
      <alignment vertical="center"/>
    </xf>
    <xf numFmtId="49" fontId="22" fillId="8" borderId="27" xfId="0" applyNumberFormat="1" applyFont="1" applyFill="1" applyBorder="1" applyAlignment="1">
      <alignment horizontal="left" vertical="center" wrapText="1"/>
    </xf>
    <xf numFmtId="0" fontId="22" fillId="0" borderId="33" xfId="0" applyFont="1" applyBorder="1" applyAlignment="1">
      <alignment horizontal="left" vertical="center"/>
    </xf>
    <xf numFmtId="49" fontId="25" fillId="0" borderId="31" xfId="0" applyNumberFormat="1" applyFont="1" applyBorder="1" applyAlignment="1">
      <alignment horizontal="center" vertical="center"/>
    </xf>
    <xf numFmtId="49" fontId="25" fillId="0" borderId="27" xfId="0" applyNumberFormat="1" applyFont="1" applyBorder="1" applyAlignment="1">
      <alignment horizontal="center" vertical="center"/>
    </xf>
    <xf numFmtId="49" fontId="25" fillId="0" borderId="27" xfId="0" applyNumberFormat="1" applyFont="1" applyBorder="1" applyAlignment="1">
      <alignment horizontal="left" vertical="center"/>
    </xf>
    <xf numFmtId="0" fontId="22" fillId="0" borderId="29" xfId="0" applyFont="1" applyBorder="1" applyAlignment="1">
      <alignment horizontal="left" vertical="center"/>
    </xf>
    <xf numFmtId="49" fontId="22" fillId="0" borderId="31" xfId="0" applyNumberFormat="1" applyFont="1" applyBorder="1" applyAlignment="1">
      <alignment horizontal="center" vertical="center"/>
    </xf>
    <xf numFmtId="49" fontId="22" fillId="8" borderId="27" xfId="0" applyNumberFormat="1" applyFont="1" applyFill="1" applyBorder="1" applyAlignment="1">
      <alignment horizontal="center" vertical="center" wrapText="1"/>
    </xf>
    <xf numFmtId="167" fontId="22" fillId="0" borderId="29" xfId="0" quotePrefix="1" applyNumberFormat="1" applyFont="1" applyBorder="1" applyAlignment="1">
      <alignment horizontal="center" vertical="center"/>
    </xf>
    <xf numFmtId="167" fontId="22" fillId="0" borderId="33" xfId="0" quotePrefix="1" applyNumberFormat="1" applyFont="1" applyBorder="1" applyAlignment="1">
      <alignment horizontal="center" vertical="center"/>
    </xf>
    <xf numFmtId="167" fontId="22" fillId="0" borderId="33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0" fontId="26" fillId="0" borderId="29" xfId="0" applyFont="1" applyBorder="1" applyAlignment="1">
      <alignment horizontal="left" vertical="center"/>
    </xf>
    <xf numFmtId="167" fontId="26" fillId="0" borderId="29" xfId="0" applyNumberFormat="1" applyFont="1" applyBorder="1" applyAlignment="1">
      <alignment horizontal="center" vertical="center"/>
    </xf>
    <xf numFmtId="167" fontId="26" fillId="0" borderId="29" xfId="0" quotePrefix="1" applyNumberFormat="1" applyFont="1" applyBorder="1" applyAlignment="1">
      <alignment horizontal="center" vertical="center"/>
    </xf>
    <xf numFmtId="49" fontId="26" fillId="0" borderId="27" xfId="0" applyNumberFormat="1" applyFont="1" applyBorder="1" applyAlignment="1">
      <alignment horizontal="center" vertical="center"/>
    </xf>
    <xf numFmtId="164" fontId="26" fillId="0" borderId="27" xfId="0" applyNumberFormat="1" applyFont="1" applyBorder="1" applyAlignment="1">
      <alignment horizontal="left" vertical="center"/>
    </xf>
    <xf numFmtId="0" fontId="26" fillId="0" borderId="27" xfId="0" applyFont="1" applyBorder="1" applyAlignment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49" fontId="26" fillId="0" borderId="26" xfId="0" applyNumberFormat="1" applyFont="1" applyBorder="1" applyAlignment="1">
      <alignment horizontal="center" vertical="center"/>
    </xf>
    <xf numFmtId="49" fontId="26" fillId="0" borderId="26" xfId="0" applyNumberFormat="1" applyFont="1" applyBorder="1" applyAlignment="1">
      <alignment horizontal="left" vertical="center"/>
    </xf>
    <xf numFmtId="0" fontId="10" fillId="2" borderId="23" xfId="0" applyFont="1" applyFill="1" applyBorder="1"/>
    <xf numFmtId="0" fontId="10" fillId="2" borderId="23" xfId="0" applyFont="1" applyFill="1" applyBorder="1" applyAlignment="1">
      <alignment horizontal="center"/>
    </xf>
    <xf numFmtId="0" fontId="11" fillId="11" borderId="23" xfId="0" applyFont="1" applyFill="1" applyBorder="1"/>
    <xf numFmtId="0" fontId="14" fillId="11" borderId="23" xfId="0" applyFont="1" applyFill="1" applyBorder="1" applyAlignment="1">
      <alignment horizontal="center"/>
    </xf>
    <xf numFmtId="0" fontId="4" fillId="0" borderId="23" xfId="0" applyFont="1" applyBorder="1"/>
    <xf numFmtId="0" fontId="0" fillId="0" borderId="23" xfId="0" applyBorder="1"/>
    <xf numFmtId="0" fontId="4" fillId="11" borderId="23" xfId="0" applyFont="1" applyFill="1" applyBorder="1"/>
    <xf numFmtId="0" fontId="11" fillId="0" borderId="23" xfId="0" applyFont="1" applyBorder="1" applyAlignment="1">
      <alignment vertical="center"/>
    </xf>
    <xf numFmtId="0" fontId="11" fillId="0" borderId="23" xfId="0" applyFont="1" applyBorder="1" applyAlignment="1">
      <alignment horizontal="left"/>
    </xf>
    <xf numFmtId="0" fontId="11" fillId="11" borderId="23" xfId="0" applyFont="1" applyFill="1" applyBorder="1" applyAlignment="1">
      <alignment horizontal="left"/>
    </xf>
    <xf numFmtId="0" fontId="11" fillId="11" borderId="23" xfId="0" applyFont="1" applyFill="1" applyBorder="1" applyAlignment="1">
      <alignment horizontal="center"/>
    </xf>
    <xf numFmtId="0" fontId="0" fillId="11" borderId="23" xfId="0" applyFill="1" applyBorder="1"/>
    <xf numFmtId="0" fontId="2" fillId="11" borderId="23" xfId="0" applyFont="1" applyFill="1" applyBorder="1"/>
    <xf numFmtId="0" fontId="7" fillId="11" borderId="23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1" fillId="10" borderId="23" xfId="0" applyFont="1" applyFill="1" applyBorder="1"/>
    <xf numFmtId="0" fontId="0" fillId="0" borderId="43" xfId="0" applyBorder="1" applyAlignment="1">
      <alignment horizontal="center"/>
    </xf>
    <xf numFmtId="0" fontId="0" fillId="0" borderId="43" xfId="0" applyBorder="1"/>
    <xf numFmtId="0" fontId="10" fillId="2" borderId="23" xfId="0" applyFont="1" applyFill="1" applyBorder="1" applyAlignment="1">
      <alignment horizontal="center" vertical="center"/>
    </xf>
    <xf numFmtId="0" fontId="11" fillId="2" borderId="23" xfId="0" applyFont="1" applyFill="1" applyBorder="1"/>
    <xf numFmtId="0" fontId="10" fillId="2" borderId="23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8" fillId="0" borderId="21" xfId="0" applyFont="1" applyBorder="1"/>
    <xf numFmtId="0" fontId="2" fillId="0" borderId="21" xfId="0" applyFont="1" applyBorder="1" applyAlignment="1">
      <alignment horizontal="center"/>
    </xf>
    <xf numFmtId="0" fontId="23" fillId="5" borderId="23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center" vertical="center"/>
    </xf>
    <xf numFmtId="49" fontId="22" fillId="6" borderId="37" xfId="0" applyNumberFormat="1" applyFont="1" applyFill="1" applyBorder="1" applyAlignment="1">
      <alignment horizontal="left" vertical="center" wrapText="1"/>
    </xf>
    <xf numFmtId="49" fontId="22" fillId="7" borderId="26" xfId="0" applyNumberFormat="1" applyFont="1" applyFill="1" applyBorder="1" applyAlignment="1">
      <alignment horizontal="center" vertical="center"/>
    </xf>
    <xf numFmtId="49" fontId="22" fillId="7" borderId="26" xfId="0" applyNumberFormat="1" applyFont="1" applyFill="1" applyBorder="1" applyAlignment="1">
      <alignment vertical="center"/>
    </xf>
    <xf numFmtId="164" fontId="22" fillId="7" borderId="26" xfId="0" applyNumberFormat="1" applyFont="1" applyFill="1" applyBorder="1" applyAlignment="1">
      <alignment horizontal="left" vertical="center"/>
    </xf>
    <xf numFmtId="0" fontId="22" fillId="7" borderId="26" xfId="0" applyFont="1" applyFill="1" applyBorder="1" applyAlignment="1">
      <alignment horizontal="center" vertical="center"/>
    </xf>
    <xf numFmtId="49" fontId="22" fillId="8" borderId="26" xfId="0" applyNumberFormat="1" applyFont="1" applyFill="1" applyBorder="1" applyAlignment="1">
      <alignment horizontal="center" vertical="center" wrapText="1"/>
    </xf>
    <xf numFmtId="164" fontId="22" fillId="8" borderId="26" xfId="0" applyNumberFormat="1" applyFont="1" applyFill="1" applyBorder="1" applyAlignment="1">
      <alignment horizontal="center" vertical="center" wrapText="1"/>
    </xf>
    <xf numFmtId="0" fontId="31" fillId="15" borderId="43" xfId="0" applyFont="1" applyFill="1" applyBorder="1" applyAlignment="1">
      <alignment horizontal="left" vertical="center" wrapText="1"/>
    </xf>
    <xf numFmtId="0" fontId="0" fillId="0" borderId="52" xfId="0" applyBorder="1"/>
    <xf numFmtId="0" fontId="0" fillId="0" borderId="44" xfId="0" applyBorder="1" applyAlignment="1">
      <alignment horizontal="center"/>
    </xf>
    <xf numFmtId="0" fontId="32" fillId="0" borderId="43" xfId="0" applyFont="1" applyBorder="1"/>
    <xf numFmtId="0" fontId="32" fillId="0" borderId="45" xfId="0" applyFont="1" applyBorder="1"/>
    <xf numFmtId="0" fontId="0" fillId="0" borderId="53" xfId="0" applyBorder="1"/>
    <xf numFmtId="0" fontId="32" fillId="0" borderId="54" xfId="0" applyFont="1" applyBorder="1"/>
    <xf numFmtId="0" fontId="32" fillId="0" borderId="23" xfId="0" applyFont="1" applyBorder="1"/>
    <xf numFmtId="0" fontId="1" fillId="0" borderId="43" xfId="0" applyFont="1" applyBorder="1"/>
    <xf numFmtId="0" fontId="33" fillId="0" borderId="43" xfId="0" applyFont="1" applyBorder="1"/>
    <xf numFmtId="0" fontId="33" fillId="0" borderId="45" xfId="0" applyFont="1" applyBorder="1"/>
    <xf numFmtId="0" fontId="1" fillId="14" borderId="43" xfId="0" applyFont="1" applyFill="1" applyBorder="1" applyAlignment="1">
      <alignment horizontal="center"/>
    </xf>
    <xf numFmtId="0" fontId="1" fillId="14" borderId="43" xfId="0" applyFont="1" applyFill="1" applyBorder="1"/>
    <xf numFmtId="0" fontId="21" fillId="0" borderId="43" xfId="0" applyFont="1" applyBorder="1" applyAlignment="1">
      <alignment horizontal="center"/>
    </xf>
    <xf numFmtId="165" fontId="11" fillId="0" borderId="46" xfId="0" applyNumberFormat="1" applyFont="1" applyBorder="1" applyAlignment="1">
      <alignment horizontal="center"/>
    </xf>
    <xf numFmtId="165" fontId="11" fillId="0" borderId="47" xfId="0" applyNumberFormat="1" applyFont="1" applyBorder="1" applyAlignment="1">
      <alignment horizontal="center"/>
    </xf>
    <xf numFmtId="0" fontId="30" fillId="12" borderId="18" xfId="0" applyFont="1" applyFill="1" applyBorder="1" applyAlignment="1">
      <alignment horizontal="center" vertical="center"/>
    </xf>
    <xf numFmtId="0" fontId="30" fillId="12" borderId="19" xfId="0" applyFont="1" applyFill="1" applyBorder="1" applyAlignment="1">
      <alignment horizontal="center" vertical="center"/>
    </xf>
    <xf numFmtId="0" fontId="30" fillId="12" borderId="3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165" fontId="11" fillId="0" borderId="44" xfId="0" applyNumberFormat="1" applyFont="1" applyBorder="1" applyAlignment="1">
      <alignment horizontal="center"/>
    </xf>
    <xf numFmtId="165" fontId="11" fillId="0" borderId="45" xfId="0" applyNumberFormat="1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48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left" wrapText="1"/>
    </xf>
    <xf numFmtId="0" fontId="11" fillId="11" borderId="23" xfId="0" applyFont="1" applyFill="1" applyBorder="1" applyAlignment="1">
      <alignment horizontal="left"/>
    </xf>
    <xf numFmtId="0" fontId="10" fillId="10" borderId="23" xfId="0" applyFont="1" applyFill="1" applyBorder="1" applyAlignment="1">
      <alignment horizontal="center" vertical="center" wrapText="1"/>
    </xf>
    <xf numFmtId="165" fontId="11" fillId="0" borderId="23" xfId="0" applyNumberFormat="1" applyFont="1" applyBorder="1" applyAlignment="1">
      <alignment horizontal="center"/>
    </xf>
    <xf numFmtId="0" fontId="30" fillId="12" borderId="18" xfId="0" applyFont="1" applyFill="1" applyBorder="1" applyAlignment="1">
      <alignment horizontal="center" vertical="center" wrapText="1"/>
    </xf>
    <xf numFmtId="0" fontId="30" fillId="12" borderId="3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left" vertical="center" wrapText="1"/>
    </xf>
    <xf numFmtId="165" fontId="11" fillId="0" borderId="50" xfId="0" applyNumberFormat="1" applyFont="1" applyBorder="1" applyAlignment="1">
      <alignment horizontal="center"/>
    </xf>
    <xf numFmtId="165" fontId="11" fillId="0" borderId="51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left" vertical="top" wrapText="1"/>
    </xf>
    <xf numFmtId="0" fontId="11" fillId="11" borderId="23" xfId="0" applyFont="1" applyFill="1" applyBorder="1" applyAlignment="1">
      <alignment horizontal="center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11" fillId="0" borderId="44" xfId="0" applyFont="1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7" fillId="0" borderId="40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0" fontId="30" fillId="12" borderId="1" xfId="0" applyFont="1" applyFill="1" applyBorder="1" applyAlignment="1">
      <alignment horizontal="center" vertical="center"/>
    </xf>
    <xf numFmtId="0" fontId="30" fillId="12" borderId="6" xfId="0" applyFont="1" applyFill="1" applyBorder="1" applyAlignment="1">
      <alignment horizontal="center" vertical="center"/>
    </xf>
    <xf numFmtId="0" fontId="30" fillId="12" borderId="2" xfId="0" applyFont="1" applyFill="1" applyBorder="1" applyAlignment="1">
      <alignment horizontal="center" vertical="center"/>
    </xf>
    <xf numFmtId="0" fontId="30" fillId="12" borderId="19" xfId="0" applyFont="1" applyFill="1" applyBorder="1" applyAlignment="1">
      <alignment horizontal="center" vertical="center" wrapText="1"/>
    </xf>
    <xf numFmtId="0" fontId="29" fillId="13" borderId="49" xfId="0" applyFont="1" applyFill="1" applyBorder="1" applyAlignment="1">
      <alignment horizontal="left"/>
    </xf>
    <xf numFmtId="0" fontId="29" fillId="13" borderId="45" xfId="0" applyFont="1" applyFill="1" applyBorder="1" applyAlignment="1">
      <alignment horizontal="left"/>
    </xf>
    <xf numFmtId="0" fontId="29" fillId="13" borderId="44" xfId="0" applyFont="1" applyFill="1" applyBorder="1" applyAlignment="1">
      <alignment horizontal="left"/>
    </xf>
    <xf numFmtId="0" fontId="29" fillId="13" borderId="44" xfId="0" applyFont="1" applyFill="1" applyBorder="1" applyAlignment="1">
      <alignment horizontal="center"/>
    </xf>
    <xf numFmtId="0" fontId="29" fillId="13" borderId="49" xfId="0" applyFont="1" applyFill="1" applyBorder="1" applyAlignment="1">
      <alignment horizontal="center"/>
    </xf>
    <xf numFmtId="0" fontId="29" fillId="13" borderId="45" xfId="0" applyFont="1" applyFill="1" applyBorder="1" applyAlignment="1">
      <alignment horizontal="center"/>
    </xf>
    <xf numFmtId="0" fontId="29" fillId="13" borderId="43" xfId="0" applyFont="1" applyFill="1" applyBorder="1" applyAlignment="1">
      <alignment horizontal="left"/>
    </xf>
    <xf numFmtId="49" fontId="27" fillId="0" borderId="0" xfId="0" applyNumberFormat="1" applyFont="1" applyAlignment="1">
      <alignment horizontal="center" vertical="center"/>
    </xf>
    <xf numFmtId="0" fontId="23" fillId="4" borderId="34" xfId="0" applyFont="1" applyFill="1" applyBorder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0" fontId="23" fillId="9" borderId="35" xfId="0" applyFont="1" applyFill="1" applyBorder="1" applyAlignment="1">
      <alignment horizontal="left" vertical="center"/>
    </xf>
    <xf numFmtId="49" fontId="23" fillId="9" borderId="28" xfId="0" applyNumberFormat="1" applyFont="1" applyFill="1" applyBorder="1" applyAlignment="1">
      <alignment horizontal="center" vertical="center"/>
    </xf>
    <xf numFmtId="49" fontId="23" fillId="9" borderId="38" xfId="0" applyNumberFormat="1" applyFont="1" applyFill="1" applyBorder="1" applyAlignment="1">
      <alignment horizontal="center" vertical="center"/>
    </xf>
    <xf numFmtId="0" fontId="4" fillId="0" borderId="2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/>
    <xf numFmtId="0" fontId="4" fillId="0" borderId="7" xfId="0" applyFont="1" applyBorder="1" applyAlignment="1"/>
    <xf numFmtId="0" fontId="4" fillId="0" borderId="39" xfId="0" applyFont="1" applyBorder="1" applyAlignment="1"/>
    <xf numFmtId="0" fontId="0" fillId="0" borderId="0" xfId="0" applyAlignment="1"/>
    <xf numFmtId="0" fontId="4" fillId="0" borderId="24" xfId="0" applyFont="1" applyBorder="1" applyAlignment="1"/>
    <xf numFmtId="0" fontId="4" fillId="0" borderId="25" xfId="0" applyFont="1" applyBorder="1" applyAlignment="1"/>
    <xf numFmtId="0" fontId="4" fillId="0" borderId="36" xfId="0" applyFont="1" applyBorder="1" applyAlignment="1"/>
    <xf numFmtId="0" fontId="4" fillId="0" borderId="37" xfId="0" applyFont="1" applyBorder="1" applyAlignment="1"/>
    <xf numFmtId="0" fontId="4" fillId="0" borderId="30" xfId="0" applyFont="1" applyBorder="1" applyAlignment="1"/>
    <xf numFmtId="0" fontId="4" fillId="0" borderId="29" xfId="0" applyFont="1" applyBorder="1" applyAlignment="1"/>
  </cellXfs>
  <cellStyles count="1">
    <cellStyle name="Normal" xfId="0" builtinId="0"/>
  </cellStyles>
  <dxfs count="4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</dxfs>
  <tableStyles count="10">
    <tableStyle name="BD PC Salas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BD Surco Activos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BD PC-style" pivot="0" count="3" xr9:uid="{00000000-0011-0000-FFFF-FFFF02000000}">
      <tableStyleElement type="headerRow" dxfId="36"/>
      <tableStyleElement type="firstRowStripe" dxfId="35"/>
      <tableStyleElement type="secondRowStripe" dxfId="34"/>
    </tableStyle>
    <tableStyle name="BD PCs-style" pivot="0" count="3" xr9:uid="{00000000-0011-0000-FFFF-FFFF03000000}">
      <tableStyleElement type="headerRow" dxfId="33"/>
      <tableStyleElement type="firstRowStripe" dxfId="32"/>
      <tableStyleElement type="secondRowStripe" dxfId="31"/>
    </tableStyle>
    <tableStyle name="BD Cesados-style" pivot="0" count="3" xr9:uid="{00000000-0011-0000-FFFF-FFFF04000000}">
      <tableStyleElement type="headerRow" dxfId="30"/>
      <tableStyleElement type="firstRowStripe" dxfId="29"/>
      <tableStyleElement type="secondRowStripe" dxfId="28"/>
    </tableStyle>
    <tableStyle name="BD Stock TI-style" pivot="0" count="3" xr9:uid="{00000000-0011-0000-FFFF-FFFF05000000}">
      <tableStyleElement type="headerRow" dxfId="27"/>
      <tableStyleElement type="firstRowStripe" dxfId="26"/>
      <tableStyleElement type="secondRowStripe" dxfId="25"/>
    </tableStyle>
    <tableStyle name="BD Anexos-style" pivot="0" count="3" xr9:uid="{00000000-0011-0000-FFFF-FFFF06000000}">
      <tableStyleElement type="headerRow" dxfId="24"/>
      <tableStyleElement type="firstRowStripe" dxfId="23"/>
      <tableStyleElement type="secondRowStripe" dxfId="22"/>
    </tableStyle>
    <tableStyle name="BD Impresoras-style" pivot="0" count="3" xr9:uid="{00000000-0011-0000-FFFF-FFFF07000000}">
      <tableStyleElement type="headerRow" dxfId="21"/>
      <tableStyleElement type="firstRowStripe" dxfId="20"/>
      <tableStyleElement type="secondRowStripe" dxfId="19"/>
    </tableStyle>
    <tableStyle name="BD Accesorios-style" pivot="0" count="3" xr9:uid="{00000000-0011-0000-FFFF-FFFF08000000}">
      <tableStyleElement type="headerRow" dxfId="18"/>
      <tableStyleElement type="firstRowStripe" dxfId="17"/>
      <tableStyleElement type="secondRowStripe" dxfId="16"/>
    </tableStyle>
    <tableStyle name="BD Proyector-style" pivot="0" count="3" xr9:uid="{00000000-0011-0000-FFFF-FFFF09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2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423874</xdr:colOff>
      <xdr:row>10</xdr:row>
      <xdr:rowOff>89199</xdr:rowOff>
    </xdr:from>
    <xdr:to>
      <xdr:col>2</xdr:col>
      <xdr:colOff>1106905</xdr:colOff>
      <xdr:row>12</xdr:row>
      <xdr:rowOff>176462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816D9E-1282-4D98-A066-6715AB766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506" y="145346"/>
          <a:ext cx="683031" cy="6166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62050" cy="409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0</xdr:rowOff>
    </xdr:from>
    <xdr:ext cx="133350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7:AE20">
  <tableColumns count="30">
    <tableColumn id="1" xr3:uid="{00000000-0010-0000-0200-000001000000}" name="ITEM_REG"/>
    <tableColumn id="2" xr3:uid="{00000000-0010-0000-0200-000002000000}" name="ID EQUIPO"/>
    <tableColumn id="3" xr3:uid="{00000000-0010-0000-0200-000003000000}" name="TIPO EQUIPO"/>
    <tableColumn id="4" xr3:uid="{00000000-0010-0000-0200-000004000000}" name="HOSTNAME"/>
    <tableColumn id="5" xr3:uid="{00000000-0010-0000-0200-000005000000}" name="DOMINIO"/>
    <tableColumn id="6" xr3:uid="{00000000-0010-0000-0200-000006000000}" name="TIPO DE ASIGNACIÓN"/>
    <tableColumn id="7" xr3:uid="{00000000-0010-0000-0200-000007000000}" name="MARCA PC"/>
    <tableColumn id="8" xr3:uid="{00000000-0010-0000-0200-000008000000}" name="MODELO PC"/>
    <tableColumn id="9" xr3:uid="{00000000-0010-0000-0200-000009000000}" name="NRO. SERIE PC"/>
    <tableColumn id="10" xr3:uid="{00000000-0010-0000-0200-00000A000000}" name="PROCESADOR PC"/>
    <tableColumn id="11" xr3:uid="{00000000-0010-0000-0200-00000B000000}" name="PROCESADOR PC DESCRIPCIÓN"/>
    <tableColumn id="12" xr3:uid="{00000000-0010-0000-0200-00000C000000}" name="DISCO DURO  PC"/>
    <tableColumn id="13" xr3:uid="{00000000-0010-0000-0200-00000D000000}" name="RAM PC"/>
    <tableColumn id="14" xr3:uid="{00000000-0010-0000-0200-00000E000000}" name="CARGADOR PC (n/s)"/>
    <tableColumn id="15" xr3:uid="{00000000-0010-0000-0200-00000F000000}" name="MAC LAN PC"/>
    <tableColumn id="16" xr3:uid="{00000000-0010-0000-0200-000010000000}" name="MAC WIFI PC"/>
    <tableColumn id="17" xr3:uid="{00000000-0010-0000-0200-000011000000}" name="NRO. RQ PC"/>
    <tableColumn id="18" xr3:uid="{00000000-0010-0000-0200-000012000000}" name="FE INI GARANTIA PC"/>
    <tableColumn id="19" xr3:uid="{00000000-0010-0000-0200-000013000000}" name="FE FIN GARANTIA PC"/>
    <tableColumn id="20" xr3:uid="{00000000-0010-0000-0200-000014000000}" name="DIAS REST. GARANT. PC"/>
    <tableColumn id="21" xr3:uid="{00000000-0010-0000-0200-000015000000}" name="ESTADO GARANT. PC"/>
    <tableColumn id="22" xr3:uid="{00000000-0010-0000-0200-000016000000}" name="ESTADO PC"/>
    <tableColumn id="23" xr3:uid="{00000000-0010-0000-0200-000017000000}" name="NRO. FACTURA PC"/>
    <tableColumn id="24" xr3:uid="{00000000-0010-0000-0200-000018000000}" name="ANTIGÜEDAD PC"/>
    <tableColumn id="25" xr3:uid="{00000000-0010-0000-0200-000019000000}" name="NRO. CONTRATO PC"/>
    <tableColumn id="26" xr3:uid="{00000000-0010-0000-0200-00001A000000}" name="USUARIO ANTERIOR"/>
    <tableColumn id="27" xr3:uid="{00000000-0010-0000-0200-00001B000000}" name="PARA BAJA"/>
    <tableColumn id="28" xr3:uid="{00000000-0010-0000-0200-00001C000000}" name="PUESTO"/>
    <tableColumn id="29" xr3:uid="{00000000-0010-0000-0200-00001D000000}" name="FE_MOD_REG"/>
    <tableColumn id="30" xr3:uid="{00000000-0010-0000-0200-00001E000000}" name="COMENTARIO"/>
  </tableColumns>
  <tableStyleInfo name="BD PC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6:T34">
  <tableColumns count="19">
    <tableColumn id="1" xr3:uid="{00000000-0010-0000-0800-000001000000}" name="ITEM"/>
    <tableColumn id="2" xr3:uid="{00000000-0010-0000-0800-000002000000}" name="FE_REGISTRO"/>
    <tableColumn id="3" xr3:uid="{00000000-0010-0000-0800-000003000000}" name="DESCRIPCIÓN"/>
    <tableColumn id="4" xr3:uid="{00000000-0010-0000-0800-000004000000}" name="MARCA"/>
    <tableColumn id="5" xr3:uid="{00000000-0010-0000-0800-000005000000}" name="MODELO"/>
    <tableColumn id="6" xr3:uid="{00000000-0010-0000-0800-000006000000}" name="SERIE"/>
    <tableColumn id="7" xr3:uid="{00000000-0010-0000-0800-000007000000}" name="CATEGORÍA"/>
    <tableColumn id="8" xr3:uid="{00000000-0010-0000-0800-000008000000}" name="TIPO"/>
    <tableColumn id="9" xr3:uid="{00000000-0010-0000-0800-000009000000}" name="DIRECCIÓN IP"/>
    <tableColumn id="10" xr3:uid="{00000000-0010-0000-0800-00000A000000}" name="SEDE"/>
    <tableColumn id="11" xr3:uid="{00000000-0010-0000-0800-00000B000000}" name="UBICACIÓN"/>
    <tableColumn id="12" xr3:uid="{00000000-0010-0000-0800-00000C000000}" name="DEPARTAMENTO"/>
    <tableColumn id="13" xr3:uid="{00000000-0010-0000-0800-00000D000000}" name="PROVINCIA"/>
    <tableColumn id="14" xr3:uid="{00000000-0010-0000-0800-00000E000000}" name="DISTRITO"/>
    <tableColumn id="15" xr3:uid="{00000000-0010-0000-0800-00000F000000}" name="DIRECCION"/>
    <tableColumn id="16" xr3:uid="{00000000-0010-0000-0800-000010000000}" name="PROVEEDOR"/>
    <tableColumn id="17" xr3:uid="{00000000-0010-0000-0800-000011000000}" name="FE_MOD_REG"/>
    <tableColumn id="18" xr3:uid="{00000000-0010-0000-0800-000012000000}" name="ESTADO"/>
    <tableColumn id="19" xr3:uid="{00000000-0010-0000-0800-000013000000}" name="COMENTARIOS"/>
  </tableColumns>
  <tableStyleInfo name="BD Accesori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82"/>
  <sheetViews>
    <sheetView showGridLines="0" tabSelected="1" showWhiteSpace="0" view="pageBreakPreview" topLeftCell="A16" zoomScale="102" zoomScaleNormal="100" zoomScaleSheetLayoutView="102" workbookViewId="0">
      <selection activeCell="R68" sqref="R68"/>
    </sheetView>
  </sheetViews>
  <sheetFormatPr defaultColWidth="14.42578125" defaultRowHeight="15" customHeight="1"/>
  <cols>
    <col min="1" max="1" width="1.7109375" customWidth="1"/>
    <col min="2" max="2" width="1.85546875" customWidth="1"/>
    <col min="3" max="3" width="32.7109375" customWidth="1"/>
    <col min="4" max="4" width="2.85546875" customWidth="1"/>
    <col min="5" max="5" width="20.85546875" customWidth="1"/>
    <col min="6" max="8" width="2.85546875" customWidth="1"/>
    <col min="9" max="9" width="7.42578125" customWidth="1"/>
    <col min="10" max="10" width="15.7109375" customWidth="1"/>
    <col min="11" max="11" width="33.7109375" customWidth="1"/>
    <col min="12" max="12" width="2.85546875" customWidth="1"/>
    <col min="13" max="13" width="4" customWidth="1"/>
    <col min="14" max="14" width="17.28515625" customWidth="1"/>
    <col min="15" max="15" width="33.7109375" customWidth="1"/>
    <col min="16" max="16" width="4.7109375" customWidth="1"/>
    <col min="17" max="23" width="3.42578125" customWidth="1"/>
    <col min="24" max="26" width="11.42578125" customWidth="1"/>
  </cols>
  <sheetData>
    <row r="1" spans="1:26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.5" customHeight="1" thickBo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>
      <c r="A11" s="2"/>
      <c r="B11" s="212"/>
      <c r="C11" s="245"/>
      <c r="D11" s="192" t="s">
        <v>0</v>
      </c>
      <c r="E11" s="193"/>
      <c r="F11" s="193"/>
      <c r="G11" s="193"/>
      <c r="H11" s="193"/>
      <c r="I11" s="193"/>
      <c r="J11" s="193"/>
      <c r="K11" s="193"/>
      <c r="L11" s="193"/>
      <c r="M11" s="193"/>
      <c r="N11" s="194"/>
      <c r="O11" s="174" t="s">
        <v>1</v>
      </c>
      <c r="P11" s="175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1" customHeight="1" thickBot="1">
      <c r="A12" s="2"/>
      <c r="B12" s="246"/>
      <c r="C12" s="247"/>
      <c r="D12" s="176" t="s">
        <v>2</v>
      </c>
      <c r="E12" s="177"/>
      <c r="F12" s="177"/>
      <c r="G12" s="177"/>
      <c r="H12" s="177"/>
      <c r="I12" s="177"/>
      <c r="J12" s="177"/>
      <c r="K12" s="177"/>
      <c r="L12" s="177"/>
      <c r="M12" s="177"/>
      <c r="N12" s="178"/>
      <c r="O12" s="174" t="s">
        <v>3</v>
      </c>
      <c r="P12" s="175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" customHeight="1" thickBot="1">
      <c r="A13" s="2"/>
      <c r="B13" s="248"/>
      <c r="C13" s="249"/>
      <c r="D13" s="179"/>
      <c r="E13" s="180"/>
      <c r="F13" s="180"/>
      <c r="G13" s="180"/>
      <c r="H13" s="180"/>
      <c r="I13" s="180"/>
      <c r="J13" s="180"/>
      <c r="K13" s="180"/>
      <c r="L13" s="180"/>
      <c r="M13" s="180"/>
      <c r="N13" s="181"/>
      <c r="O13" s="174" t="s">
        <v>4</v>
      </c>
      <c r="P13" s="175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6">
      <c r="A14" s="2"/>
      <c r="B14" s="3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5">
      <c r="A15" s="1"/>
      <c r="B15" s="8"/>
      <c r="C15" s="9" t="s">
        <v>5</v>
      </c>
      <c r="D15" s="184">
        <v>11</v>
      </c>
      <c r="E15" s="185"/>
      <c r="F15" s="185"/>
      <c r="G15" s="185"/>
      <c r="H15" s="185"/>
      <c r="I15" s="185"/>
      <c r="J15" s="186"/>
      <c r="K15" s="10"/>
      <c r="L15" s="190"/>
      <c r="M15" s="190"/>
      <c r="N15" s="190"/>
      <c r="O15" s="190"/>
      <c r="P15" s="1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5">
      <c r="A16" s="1"/>
      <c r="B16" s="8"/>
      <c r="C16" s="10" t="s">
        <v>6</v>
      </c>
      <c r="D16" s="187" t="str">
        <f>IFERROR(VLOOKUP($D$15,'Inventario TI'!A4:EE438,2,FALSE),"NA")</f>
        <v>AGENCIA MARITIMA KENRICK S.A.</v>
      </c>
      <c r="E16" s="188"/>
      <c r="F16" s="188"/>
      <c r="G16" s="188"/>
      <c r="H16" s="188"/>
      <c r="I16" s="188"/>
      <c r="J16" s="189"/>
      <c r="K16" s="10"/>
      <c r="L16" s="190"/>
      <c r="M16" s="190"/>
      <c r="N16" s="190"/>
      <c r="O16" s="190"/>
      <c r="P16" s="1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5">
      <c r="A17" s="1"/>
      <c r="B17" s="8"/>
      <c r="C17" s="10" t="s">
        <v>7</v>
      </c>
      <c r="D17" s="187">
        <f>IFERROR(VLOOKUP($D$15,'Inventario TI'!A4:EE438,3,FALSE),"NA")</f>
        <v>74964897</v>
      </c>
      <c r="E17" s="188"/>
      <c r="F17" s="188"/>
      <c r="G17" s="188"/>
      <c r="H17" s="188"/>
      <c r="I17" s="188"/>
      <c r="J17" s="189"/>
      <c r="K17" s="10"/>
      <c r="L17" s="191"/>
      <c r="M17" s="191"/>
      <c r="N17" s="191"/>
      <c r="O17" s="191"/>
      <c r="P17" s="1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2"/>
      <c r="B18" s="8"/>
      <c r="C18" s="10" t="s">
        <v>8</v>
      </c>
      <c r="D18" s="187" t="str">
        <f>IFERROR(CONCATENATE(VLOOKUP($D$15,'Inventario TI'!A4:EE438,5,FALSE),", ",VLOOKUP($D$15,'Inventario TI'!A4:EE438,4,FALSE)),"NA")</f>
        <v>VALENCIA LEON, EVA BRUNELLA</v>
      </c>
      <c r="E18" s="188"/>
      <c r="F18" s="188"/>
      <c r="G18" s="188"/>
      <c r="H18" s="188"/>
      <c r="I18" s="188"/>
      <c r="J18" s="189"/>
      <c r="K18" s="13" t="s">
        <v>9</v>
      </c>
      <c r="L18" s="215" t="str">
        <f>IFERROR(VLOOKUP($D$15,'Inventario TI'!A4:EE438,10,FALSE),"NA")</f>
        <v>REEMPLAZO</v>
      </c>
      <c r="M18" s="216"/>
      <c r="N18" s="216"/>
      <c r="O18" s="217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45">
      <c r="A19" s="12"/>
      <c r="B19" s="8"/>
      <c r="C19" s="10" t="s">
        <v>10</v>
      </c>
      <c r="D19" s="187" t="str">
        <f>IFERROR(VLOOKUP($D$15,'Inventario TI'!A4:EE438,6,FALSE),"NA")</f>
        <v>SAN ISIDRO</v>
      </c>
      <c r="E19" s="188"/>
      <c r="F19" s="188"/>
      <c r="G19" s="188"/>
      <c r="H19" s="188"/>
      <c r="I19" s="188"/>
      <c r="J19" s="189"/>
      <c r="K19" s="14" t="s">
        <v>11</v>
      </c>
      <c r="L19" s="218" t="str">
        <f>IFERROR(VLOOKUP($D$15,'Inventario TI'!$A$4:$EE$438,66,FALSE),"NA")</f>
        <v>CAMBIO DE LAPTOP + ACCESORIOS</v>
      </c>
      <c r="M19" s="219"/>
      <c r="N19" s="219"/>
      <c r="O19" s="220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" customHeight="1">
      <c r="A20" s="12"/>
      <c r="B20" s="15"/>
      <c r="C20" s="10" t="s">
        <v>12</v>
      </c>
      <c r="D20" s="187" t="str">
        <f>IFERROR(VLOOKUP($D$15,'Inventario TI'!A4:EE438,7,FALSE),"NA")</f>
        <v>REPRESENTACIONES Y BACKOFFICE</v>
      </c>
      <c r="E20" s="188"/>
      <c r="F20" s="188"/>
      <c r="G20" s="188"/>
      <c r="H20" s="188"/>
      <c r="I20" s="188"/>
      <c r="J20" s="189"/>
      <c r="K20" s="16"/>
      <c r="L20" s="221"/>
      <c r="M20" s="222"/>
      <c r="N20" s="222"/>
      <c r="O20" s="223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" customHeight="1">
      <c r="A21" s="12"/>
      <c r="B21" s="15"/>
      <c r="C21" s="10" t="s">
        <v>13</v>
      </c>
      <c r="D21" s="206" t="str">
        <f>IFERROR(VLOOKUP($D$15,'Inventario TI'!A4:EE438,8,FALSE),"NA")</f>
        <v>PRACTICANTE</v>
      </c>
      <c r="E21" s="207"/>
      <c r="F21" s="207"/>
      <c r="G21" s="207"/>
      <c r="H21" s="207"/>
      <c r="I21" s="207"/>
      <c r="J21" s="208"/>
      <c r="K21" s="17"/>
      <c r="L21" s="224"/>
      <c r="M21" s="225"/>
      <c r="N21" s="225"/>
      <c r="O21" s="226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9.75" customHeight="1">
      <c r="A22" s="12"/>
      <c r="B22" s="15"/>
      <c r="C22" s="17"/>
      <c r="D22" s="18"/>
      <c r="E22" s="18"/>
      <c r="F22" s="18"/>
      <c r="G22" s="18"/>
      <c r="H22" s="18"/>
      <c r="I22" s="18"/>
      <c r="J22" s="18"/>
      <c r="K22" s="17"/>
      <c r="L22" s="17"/>
      <c r="M22" s="17"/>
      <c r="N22" s="17"/>
      <c r="O22" s="17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9.75" customHeight="1">
      <c r="A23" s="12"/>
      <c r="B23" s="15"/>
      <c r="C23" s="12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" customHeight="1">
      <c r="A24" s="12"/>
      <c r="B24" s="15"/>
      <c r="C24" s="209" t="s">
        <v>14</v>
      </c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" customHeight="1">
      <c r="A25" s="12"/>
      <c r="B25" s="15"/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" customHeight="1">
      <c r="A26" s="12"/>
      <c r="B26" s="15"/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4.45">
      <c r="A27" s="12"/>
      <c r="B27" s="15"/>
      <c r="C27" s="209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12"/>
      <c r="B28" s="15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" customHeight="1" thickBot="1">
      <c r="A29" s="12"/>
      <c r="B29" s="15"/>
      <c r="C29" s="197"/>
      <c r="D29" s="197"/>
      <c r="E29" s="197"/>
      <c r="F29" s="197"/>
      <c r="G29" s="20"/>
      <c r="H29" s="21"/>
      <c r="L29" s="22"/>
      <c r="M29" s="140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thickBot="1">
      <c r="A30" s="12"/>
      <c r="B30" s="15"/>
      <c r="C30" s="227" t="str">
        <f>IFERROR(VLOOKUP($D$15,'Inventario TI'!A4:EE438,9,FALSE),"NA")</f>
        <v>LAPTOP</v>
      </c>
      <c r="D30" s="228"/>
      <c r="E30" s="229"/>
      <c r="F30" s="122"/>
      <c r="G30" s="23"/>
      <c r="H30" s="21"/>
      <c r="I30" s="199" t="s">
        <v>15</v>
      </c>
      <c r="J30" s="230"/>
      <c r="K30" s="200"/>
      <c r="L30" s="25"/>
      <c r="M30" s="136"/>
      <c r="N30" s="199" t="str">
        <f>IFERROR(VLOOKUP($D$15,'Inventario TI'!$A$4:$EE$438,45,FALSE),"NA")</f>
        <v>NA</v>
      </c>
      <c r="O30" s="200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" customHeight="1">
      <c r="A31" s="12"/>
      <c r="B31" s="15"/>
      <c r="C31" s="24" t="s">
        <v>16</v>
      </c>
      <c r="D31" s="210" t="str">
        <f>IFERROR(VLOOKUP($D$15,'Inventario TI'!A4:EE438,13,FALSE),"NA")</f>
        <v>HP</v>
      </c>
      <c r="E31" s="211"/>
      <c r="F31" s="123"/>
      <c r="G31" s="25"/>
      <c r="H31" s="21"/>
      <c r="I31" s="24" t="s">
        <v>16</v>
      </c>
      <c r="J31" s="24"/>
      <c r="K31" s="33" t="str">
        <f>IFERROR(VLOOKUP($D$15,'Inventario TI'!$A$4:$EE$438,29,FALSE),"NA")</f>
        <v>LENOVO</v>
      </c>
      <c r="L31" s="27"/>
      <c r="M31" s="136"/>
      <c r="N31" s="24" t="s">
        <v>16</v>
      </c>
      <c r="O31" s="26" t="str">
        <f>IFERROR(VLOOKUP($D$15,'Inventario TI'!$A$4:$EE$438,46,FALSE),"NA")</f>
        <v>NA</v>
      </c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" customHeight="1">
      <c r="A32" s="12"/>
      <c r="B32" s="15"/>
      <c r="C32" s="24" t="s">
        <v>17</v>
      </c>
      <c r="D32" s="210" t="str">
        <f>IFERROR(VLOOKUP($D$15,'Inventario TI'!A4:EE438,14,FALSE),"NA")</f>
        <v>Probook 440 15</v>
      </c>
      <c r="E32" s="211"/>
      <c r="F32" s="124"/>
      <c r="G32" s="23"/>
      <c r="H32" s="23"/>
      <c r="I32" s="24" t="s">
        <v>17</v>
      </c>
      <c r="J32" s="35"/>
      <c r="K32" s="36" t="str">
        <f>IFERROR(VLOOKUP($D$15,'Inventario TI'!$A$4:$EE$438,30,FALSE),"NA")</f>
        <v>THINKVISION E24-30 FLAT</v>
      </c>
      <c r="L32" s="30"/>
      <c r="M32" s="136"/>
      <c r="N32" s="24" t="s">
        <v>17</v>
      </c>
      <c r="O32" s="26" t="str">
        <f>IFERROR(VLOOKUP($D$15,'Inventario TI'!$A$4:$EE$438,47,FALSE),"NA")</f>
        <v>NA</v>
      </c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4.45">
      <c r="A33" s="12"/>
      <c r="B33" s="15"/>
      <c r="C33" s="29" t="s">
        <v>18</v>
      </c>
      <c r="D33" s="210" t="str">
        <f>IFERROR(VLOOKUP($D$15,'Inventario TI'!A4:EE438,15,FALSE),"NA")</f>
        <v>5CD5401LVT</v>
      </c>
      <c r="E33" s="211"/>
      <c r="F33" s="124"/>
      <c r="G33" s="23"/>
      <c r="H33" s="21"/>
      <c r="I33" s="24" t="s">
        <v>19</v>
      </c>
      <c r="J33" s="35"/>
      <c r="K33" s="33" t="str">
        <f>IFERROR(VLOOKUP($D$15,'Inventario TI'!$A$4:$EE$438,31,FALSE),"NA")</f>
        <v>VNABG09Z</v>
      </c>
      <c r="L33" s="31"/>
      <c r="M33" s="136"/>
      <c r="N33" s="24" t="s">
        <v>19</v>
      </c>
      <c r="O33" s="26" t="str">
        <f>IFERROR(VLOOKUP($D$15,'Inventario TI'!$A$4:$EE$438,48,FALSE),"NA")</f>
        <v>NA</v>
      </c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4.45">
      <c r="A34" s="12"/>
      <c r="B34" s="15"/>
      <c r="C34" s="24" t="s">
        <v>20</v>
      </c>
      <c r="D34" s="182" t="str">
        <f>IFERROR(VLOOKUP($D$15,'Inventario TI'!A4:EE438,11,FALSE),"NA")</f>
        <v>PETAMLT0057</v>
      </c>
      <c r="E34" s="183"/>
      <c r="F34" s="124"/>
      <c r="G34" s="23"/>
      <c r="H34" s="23"/>
      <c r="I34" s="130" t="s">
        <v>21</v>
      </c>
      <c r="K34" s="33" t="str">
        <f>IFERROR(VLOOKUP($D$15,'Inventario TI'!$A$4:$EE$438,32,FALSE),"NA")</f>
        <v>TAM-AF0056</v>
      </c>
      <c r="L34" s="25"/>
      <c r="M34" s="136"/>
      <c r="N34" s="137" t="s">
        <v>21</v>
      </c>
      <c r="O34" s="26" t="str">
        <f>IFERROR(VLOOKUP($D$15,'Inventario TI'!$A$4:$EE$438,49,FALSE),"NA")</f>
        <v>NA</v>
      </c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thickBot="1">
      <c r="A35" s="12"/>
      <c r="B35" s="15"/>
      <c r="C35" s="130" t="s">
        <v>21</v>
      </c>
      <c r="D35" s="182" t="str">
        <f>IFERROR(VLOOKUP($D$15,'Inventario TI'!A5:EE439,12,FALSE),"NA")</f>
        <v>NA</v>
      </c>
      <c r="E35" s="183"/>
      <c r="F35" s="128"/>
      <c r="G35" s="20"/>
      <c r="H35" s="21"/>
      <c r="L35" s="22"/>
      <c r="M35" s="136"/>
      <c r="N35" s="131"/>
      <c r="O35" s="132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" customHeight="1" thickBot="1">
      <c r="A36" s="12"/>
      <c r="B36" s="15"/>
      <c r="C36" s="124"/>
      <c r="D36" s="205"/>
      <c r="E36" s="205"/>
      <c r="F36" s="125"/>
      <c r="G36" s="25"/>
      <c r="H36" s="23"/>
      <c r="I36" s="199" t="s">
        <v>22</v>
      </c>
      <c r="J36" s="230"/>
      <c r="K36" s="200"/>
      <c r="L36" s="25"/>
      <c r="M36" s="136"/>
      <c r="N36" s="199" t="str">
        <f>IFERROR(VLOOKUP($D$15,'Inventario TI'!$A$4:$EE$438,50,FALSE),"NA")</f>
        <v>NA</v>
      </c>
      <c r="O36" s="200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" customHeight="1" thickBot="1">
      <c r="A37" s="12"/>
      <c r="B37" s="15"/>
      <c r="C37" s="171" t="s">
        <v>23</v>
      </c>
      <c r="D37" s="172"/>
      <c r="E37" s="173"/>
      <c r="F37" s="125"/>
      <c r="G37" s="25"/>
      <c r="H37" s="21"/>
      <c r="I37" s="24" t="s">
        <v>16</v>
      </c>
      <c r="J37" s="24"/>
      <c r="K37" s="33" t="str">
        <f>IFERROR(VLOOKUP($D$15,'Inventario TI'!$A$4:$EE$438,33,FALSE),"NA")</f>
        <v>HP</v>
      </c>
      <c r="L37" s="25"/>
      <c r="M37" s="136"/>
      <c r="N37" s="24" t="s">
        <v>16</v>
      </c>
      <c r="O37" s="26" t="str">
        <f>IFERROR(VLOOKUP($D$15,'Inventario TI'!$A$4:$EE$438,51,FALSE),"NA")</f>
        <v>NA</v>
      </c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" customHeight="1">
      <c r="A38" s="12"/>
      <c r="B38" s="15"/>
      <c r="C38" s="24" t="s">
        <v>16</v>
      </c>
      <c r="D38" s="169" t="str">
        <f>IFERROR(VLOOKUP($D$15,'Inventario TI'!A4:EE438,19,FALSE),"NA")</f>
        <v>HP</v>
      </c>
      <c r="E38" s="170"/>
      <c r="F38" s="125"/>
      <c r="G38" s="25"/>
      <c r="H38" s="21"/>
      <c r="I38" s="24" t="s">
        <v>17</v>
      </c>
      <c r="J38" s="35"/>
      <c r="K38" s="36" t="str">
        <f>IFERROR(VLOOKUP($D$15,'Inventario TI'!$A$4:$EE$438,34,FALSE),"NA")</f>
        <v>6B8U6AA</v>
      </c>
      <c r="L38" s="31"/>
      <c r="M38" s="136"/>
      <c r="N38" s="24" t="s">
        <v>17</v>
      </c>
      <c r="O38" s="26" t="str">
        <f>IFERROR(VLOOKUP($D$15,'Inventario TI'!$A$4:$EE$438,52,FALSE),"NA")</f>
        <v>NA</v>
      </c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" customHeight="1">
      <c r="A39" s="12"/>
      <c r="B39" s="15"/>
      <c r="C39" s="24" t="s">
        <v>17</v>
      </c>
      <c r="D39" s="182" t="str">
        <f>IFERROR(VLOOKUP($D$15,'Inventario TI'!A4:EE438,20,FALSE),"NA")</f>
        <v>TPN-DA15</v>
      </c>
      <c r="E39" s="183"/>
      <c r="F39" s="125"/>
      <c r="G39" s="25"/>
      <c r="H39" s="23"/>
      <c r="I39" s="24" t="s">
        <v>19</v>
      </c>
      <c r="J39" s="35"/>
      <c r="K39" s="33" t="str">
        <f>IFERROR(VLOOKUP($D$15,'Inventario TI'!$A$4:$EE$438,35,FALSE),"NA")</f>
        <v>NA</v>
      </c>
      <c r="L39" s="21"/>
      <c r="M39" s="136"/>
      <c r="N39" s="24" t="s">
        <v>19</v>
      </c>
      <c r="O39" s="26" t="str">
        <f>IFERROR(VLOOKUP($D$15,'Inventario TI'!$A$4:$EE$438,53,FALSE),"NA")</f>
        <v>NA</v>
      </c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" customHeight="1">
      <c r="A40" s="12"/>
      <c r="B40" s="15"/>
      <c r="C40" s="129" t="s">
        <v>18</v>
      </c>
      <c r="D40" s="182" t="str">
        <f>IFERROR(VLOOKUP($D$15,'Inventario TI'!A4:EE438,21,FALSE),"NA")</f>
        <v>WHRCU0EARLHI4O</v>
      </c>
      <c r="E40" s="183"/>
      <c r="F40" s="125"/>
      <c r="G40" s="25"/>
      <c r="H40" s="23"/>
      <c r="I40" s="130" t="s">
        <v>21</v>
      </c>
      <c r="K40" s="33" t="str">
        <f>IFERROR(VLOOKUP($D$15,'Inventario TI'!$A$4:$EE$438,36,FALSE),"NA")</f>
        <v>NA</v>
      </c>
      <c r="L40" s="20"/>
      <c r="M40" s="141"/>
      <c r="N40" s="137" t="s">
        <v>21</v>
      </c>
      <c r="O40" s="26" t="str">
        <f>IFERROR(VLOOKUP($D$15,'Inventario TI'!$A$4:$EE$438,54,FALSE),"NA")</f>
        <v>NA</v>
      </c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" customHeight="1" thickBot="1">
      <c r="A41" s="12"/>
      <c r="B41" s="15"/>
      <c r="F41" s="125"/>
      <c r="G41" s="21"/>
      <c r="H41" s="32"/>
      <c r="I41" s="131"/>
      <c r="J41" s="131"/>
      <c r="K41" s="132"/>
      <c r="L41" s="25"/>
      <c r="M41" s="142"/>
      <c r="N41" s="131"/>
      <c r="O41" s="132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" customHeight="1" thickBot="1">
      <c r="A42" s="12"/>
      <c r="B42" s="15"/>
      <c r="C42" s="171" t="s">
        <v>24</v>
      </c>
      <c r="D42" s="172"/>
      <c r="E42" s="173"/>
      <c r="F42" s="125"/>
      <c r="G42" s="21"/>
      <c r="H42" s="28"/>
      <c r="I42" s="199" t="s">
        <v>25</v>
      </c>
      <c r="J42" s="230"/>
      <c r="K42" s="200"/>
      <c r="L42" s="25"/>
      <c r="M42" s="136"/>
      <c r="N42" s="199" t="str">
        <f>IFERROR(VLOOKUP($D$15,'Inventario TI'!$A$4:$EE$438,55,FALSE),"NA")</f>
        <v>NA</v>
      </c>
      <c r="O42" s="200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" customHeight="1">
      <c r="A43" s="12"/>
      <c r="B43" s="15"/>
      <c r="C43" s="24" t="s">
        <v>16</v>
      </c>
      <c r="D43" s="169" t="str">
        <f>IFERROR(VLOOKUP($D$15,'Inventario TI'!$A$4:$EE$438,22,FALSE),"NA")</f>
        <v>HP</v>
      </c>
      <c r="E43" s="170"/>
      <c r="F43" s="125"/>
      <c r="G43" s="21"/>
      <c r="H43" s="28"/>
      <c r="I43" s="24" t="s">
        <v>16</v>
      </c>
      <c r="J43" s="24"/>
      <c r="K43" s="33" t="str">
        <f>IFERROR(VLOOKUP($D$15,'Inventario TI'!$A$4:$EE$438,37,FALSE),"NA")</f>
        <v>HP</v>
      </c>
      <c r="L43" s="21"/>
      <c r="M43" s="136"/>
      <c r="N43" s="24" t="s">
        <v>16</v>
      </c>
      <c r="O43" s="26" t="str">
        <f>IFERROR(VLOOKUP($D$15,'Inventario TI'!$A$4:$EE$438,56,FALSE),"NA")</f>
        <v>NA</v>
      </c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" customHeight="1">
      <c r="A44" s="12"/>
      <c r="B44" s="15"/>
      <c r="C44" s="24" t="s">
        <v>17</v>
      </c>
      <c r="D44" s="182" t="str">
        <f>IFERROR(VLOOKUP($D$15,'Inventario TI'!A4:EE438,23,FALSE),"NA")</f>
        <v>HSA-A005K</v>
      </c>
      <c r="E44" s="183"/>
      <c r="F44" s="125"/>
      <c r="G44" s="21"/>
      <c r="H44" s="23"/>
      <c r="I44" s="24" t="s">
        <v>17</v>
      </c>
      <c r="J44" s="35"/>
      <c r="K44" s="33" t="str">
        <f>IFERROR(VLOOKUP($D$15,'Inventario TI'!$A$4:$EE$438,38,FALSE),"NA")</f>
        <v>TPA-A001H</v>
      </c>
      <c r="L44" s="21"/>
      <c r="M44" s="136"/>
      <c r="N44" s="24" t="s">
        <v>17</v>
      </c>
      <c r="O44" s="26" t="str">
        <f>IFERROR(VLOOKUP($D$15,'Inventario TI'!$A$4:$EE$438,57,FALSE),"NA")</f>
        <v>NA</v>
      </c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>
      <c r="A45" s="1"/>
      <c r="B45" s="15"/>
      <c r="C45" s="29" t="s">
        <v>18</v>
      </c>
      <c r="D45" s="182" t="str">
        <f>IFERROR(VLOOKUP($D$15,'Inventario TI'!A4:EE438,24,FALSE),"NA")</f>
        <v>7CH5281DSP</v>
      </c>
      <c r="E45" s="183"/>
      <c r="F45" s="125"/>
      <c r="G45" s="23"/>
      <c r="H45" s="23"/>
      <c r="I45" s="24" t="s">
        <v>19</v>
      </c>
      <c r="J45" s="35"/>
      <c r="K45" s="33" t="str">
        <f>IFERROR(VLOOKUP($D$15,'Inventario TI'!$A$4:$EE$438,39,FALSE),"NA")</f>
        <v>7CH4290GKS</v>
      </c>
      <c r="L45" s="20"/>
      <c r="M45" s="136"/>
      <c r="N45" s="24" t="s">
        <v>19</v>
      </c>
      <c r="O45" s="26" t="str">
        <f>IFERROR(VLOOKUP($D$15,'Inventario TI'!$A$4:$EE$438,58,FALSE),"NA")</f>
        <v>NA</v>
      </c>
      <c r="P45" s="34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5"/>
      <c r="C46" s="130" t="s">
        <v>21</v>
      </c>
      <c r="D46" s="182" t="str">
        <f>IFERROR(VLOOKUP($D$15,'Inventario TI'!A4:EE438,25,FALSE),"NA")</f>
        <v>NA</v>
      </c>
      <c r="E46" s="183"/>
      <c r="F46" s="125"/>
      <c r="G46" s="23"/>
      <c r="H46" s="23"/>
      <c r="I46" s="130" t="s">
        <v>21</v>
      </c>
      <c r="K46" s="33" t="str">
        <f>IFERROR(VLOOKUP($D$15,'Inventario TI'!$A$4:$EE$438,40,FALSE),"NA")</f>
        <v>NA</v>
      </c>
      <c r="L46" s="25"/>
      <c r="M46" s="136"/>
      <c r="N46" s="137" t="s">
        <v>21</v>
      </c>
      <c r="O46" s="26" t="str">
        <f>IFERROR(VLOOKUP($D$15,'Inventario TI'!$A$4:$EE$438,59,FALSE),"NA")</f>
        <v>NA</v>
      </c>
      <c r="P46" s="1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thickBot="1">
      <c r="A47" s="1"/>
      <c r="B47" s="15"/>
      <c r="F47" s="125"/>
      <c r="G47" s="23"/>
      <c r="H47" s="23"/>
      <c r="I47" s="133"/>
      <c r="J47" s="133"/>
      <c r="K47" s="133"/>
      <c r="L47" s="25"/>
      <c r="M47" s="136"/>
      <c r="N47" s="131"/>
      <c r="O47" s="136"/>
      <c r="P47" s="1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thickBot="1">
      <c r="A48" s="1"/>
      <c r="B48" s="15"/>
      <c r="C48" s="171" t="s">
        <v>26</v>
      </c>
      <c r="D48" s="172"/>
      <c r="E48" s="173"/>
      <c r="F48" s="125"/>
      <c r="G48" s="23"/>
      <c r="H48" s="21"/>
      <c r="I48" s="199" t="s">
        <v>27</v>
      </c>
      <c r="J48" s="230"/>
      <c r="K48" s="200"/>
      <c r="L48" s="25"/>
      <c r="M48" s="136"/>
      <c r="N48" s="199" t="str">
        <f>IFERROR(VLOOKUP($D$15,'Inventario TI'!$A$4:$EE$438,60,FALSE),"NA")</f>
        <v>NA</v>
      </c>
      <c r="O48" s="200"/>
      <c r="P48" s="1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thickBot="1">
      <c r="A49" s="1"/>
      <c r="B49" s="15"/>
      <c r="C49" s="24" t="s">
        <v>16</v>
      </c>
      <c r="D49" s="202" t="str">
        <f>IFERROR(VLOOKUP($D$15,'Inventario TI'!A4:EE438,26,FALSE),"NA")</f>
        <v>HP</v>
      </c>
      <c r="E49" s="203"/>
      <c r="F49" s="125"/>
      <c r="G49" s="1"/>
      <c r="H49" s="1"/>
      <c r="I49" s="24" t="s">
        <v>16</v>
      </c>
      <c r="J49" s="24"/>
      <c r="K49" s="33" t="str">
        <f>IFERROR(VLOOKUP($D$15,'Inventario TI'!$A$4:$EE$438,41,FALSE),"NA")</f>
        <v>NA</v>
      </c>
      <c r="L49" s="1"/>
      <c r="M49" s="136"/>
      <c r="N49" s="24" t="s">
        <v>16</v>
      </c>
      <c r="O49" s="26" t="str">
        <f>IFERROR(VLOOKUP($D$15,'Inventario TI'!$A$4:$EE$438,61,FALSE),"NA")</f>
        <v>NA</v>
      </c>
      <c r="P49" s="1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thickBot="1">
      <c r="A50" s="1"/>
      <c r="B50" s="15"/>
      <c r="C50" s="24" t="s">
        <v>17</v>
      </c>
      <c r="D50" s="169" t="str">
        <f>IFERROR(VLOOKUP($D$15,'Inventario TI'!$A$4:$EE$438,27,FALSE),"NA")</f>
        <v>HSA-A011M</v>
      </c>
      <c r="E50" s="170"/>
      <c r="F50" s="125"/>
      <c r="G50" s="21"/>
      <c r="H50" s="21"/>
      <c r="I50" s="24" t="s">
        <v>17</v>
      </c>
      <c r="J50" s="35"/>
      <c r="K50" s="36" t="str">
        <f>IFERROR(VLOOKUP($D$15,'Inventario TI'!$A$4:$EE$438,42,FALSE),"NA")</f>
        <v>NA</v>
      </c>
      <c r="L50" s="20"/>
      <c r="M50" s="136"/>
      <c r="N50" s="24" t="s">
        <v>17</v>
      </c>
      <c r="O50" s="26" t="str">
        <f>IFERROR(VLOOKUP($D$15,'Inventario TI'!$A$4:$EE$438,62,FALSE),"NA")</f>
        <v>NA</v>
      </c>
      <c r="P50" s="1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5"/>
      <c r="C51" s="29" t="s">
        <v>18</v>
      </c>
      <c r="D51" s="169" t="str">
        <f>IFERROR(VLOOKUP($D$15,'Inventario TI'!$A$4:$EE$438,28,FALSE),"NA")</f>
        <v>7CH5281DSP</v>
      </c>
      <c r="E51" s="170"/>
      <c r="F51" s="125"/>
      <c r="G51" s="21"/>
      <c r="H51" s="21"/>
      <c r="I51" s="24" t="s">
        <v>19</v>
      </c>
      <c r="J51" s="35"/>
      <c r="K51" s="33" t="str">
        <f>IFERROR(VLOOKUP($D$15,'Inventario TI'!$A$4:$EE$438,43,FALSE),"NA")</f>
        <v>NA</v>
      </c>
      <c r="L51" s="25"/>
      <c r="M51" s="136"/>
      <c r="N51" s="24" t="s">
        <v>19</v>
      </c>
      <c r="O51" s="26" t="str">
        <f>IFERROR(VLOOKUP($D$15,'Inventario TI'!$A$4:$EE$438,63,FALSE),"NA")</f>
        <v>NA</v>
      </c>
      <c r="P51" s="1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5"/>
      <c r="C52" s="130"/>
      <c r="D52" s="198"/>
      <c r="E52" s="198"/>
      <c r="F52" s="125"/>
      <c r="G52" s="21"/>
      <c r="H52" s="21"/>
      <c r="I52" s="130" t="s">
        <v>21</v>
      </c>
      <c r="K52" s="33" t="str">
        <f>IFERROR(VLOOKUP($D$15,'Inventario TI'!$A$4:$EE$438,44,FALSE),"NA")</f>
        <v>NA</v>
      </c>
      <c r="L52" s="25"/>
      <c r="M52" s="136"/>
      <c r="N52" s="137" t="s">
        <v>21</v>
      </c>
      <c r="O52" s="26" t="str">
        <f>IFERROR(VLOOKUP($D$15,'Inventario TI'!$A$4:$EE$438,64,FALSE),"NA")</f>
        <v>NA</v>
      </c>
      <c r="P52" s="1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5"/>
      <c r="F53" s="125"/>
      <c r="G53" s="21"/>
      <c r="H53" s="21"/>
      <c r="I53" s="196"/>
      <c r="J53" s="196"/>
      <c r="K53" s="132"/>
      <c r="L53" s="25"/>
      <c r="M53" s="136"/>
      <c r="N53" s="134"/>
      <c r="O53" s="134"/>
      <c r="P53" s="1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5">
      <c r="A54" s="1"/>
      <c r="B54" s="15"/>
      <c r="F54" s="21"/>
      <c r="G54" s="21"/>
      <c r="H54" s="21"/>
      <c r="I54" s="197"/>
      <c r="J54" s="197"/>
      <c r="K54" s="197"/>
      <c r="L54" s="25"/>
      <c r="M54" s="136"/>
      <c r="N54" s="197"/>
      <c r="O54" s="197"/>
      <c r="P54" s="1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5"/>
      <c r="F55" s="21"/>
      <c r="G55" s="21"/>
      <c r="H55" s="21"/>
      <c r="I55" s="196"/>
      <c r="J55" s="196"/>
      <c r="K55" s="132"/>
      <c r="L55" s="1"/>
      <c r="M55" s="136"/>
      <c r="N55" s="201"/>
      <c r="O55" s="201"/>
      <c r="P55" s="1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5"/>
      <c r="F56" s="126"/>
      <c r="G56" s="21"/>
      <c r="H56" s="21"/>
      <c r="I56" s="196"/>
      <c r="J56" s="196"/>
      <c r="K56" s="132"/>
      <c r="L56" s="1"/>
      <c r="M56" s="136"/>
      <c r="N56" s="201"/>
      <c r="O56" s="201"/>
      <c r="P56" s="1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5"/>
      <c r="C57" s="126"/>
      <c r="D57" s="127"/>
      <c r="E57" s="127"/>
      <c r="F57" s="126"/>
      <c r="G57" s="21"/>
      <c r="H57" s="21"/>
      <c r="I57" s="195"/>
      <c r="J57" s="195"/>
      <c r="K57" s="135"/>
      <c r="L57" s="1"/>
      <c r="M57" s="136"/>
      <c r="N57" s="201"/>
      <c r="O57" s="201"/>
      <c r="P57" s="1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1"/>
      <c r="Q58" s="37"/>
      <c r="R58" s="37"/>
      <c r="S58" s="37"/>
      <c r="T58" s="37"/>
      <c r="U58" s="37"/>
      <c r="V58" s="37"/>
      <c r="W58" s="37"/>
      <c r="X58" s="1"/>
      <c r="Y58" s="1"/>
      <c r="Z58" s="1"/>
    </row>
    <row r="59" spans="1:26" ht="15" customHeight="1">
      <c r="A59" s="1"/>
      <c r="B59" s="15"/>
      <c r="C59" s="204" t="s">
        <v>28</v>
      </c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1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5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1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5"/>
      <c r="C61" s="204" t="s">
        <v>29</v>
      </c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1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5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11"/>
      <c r="Q62" s="37"/>
      <c r="R62" s="37"/>
      <c r="S62" s="37"/>
      <c r="T62" s="37"/>
      <c r="U62" s="37"/>
      <c r="V62" s="37"/>
      <c r="W62" s="37"/>
      <c r="X62" s="1"/>
      <c r="Y62" s="1"/>
      <c r="Z62" s="1"/>
    </row>
    <row r="63" spans="1:26" ht="15.75" customHeight="1">
      <c r="A63" s="38"/>
      <c r="B63" s="15"/>
      <c r="C63" s="204" t="s">
        <v>30</v>
      </c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11"/>
      <c r="Q63" s="39"/>
      <c r="R63" s="39"/>
      <c r="S63" s="39"/>
      <c r="T63" s="39"/>
      <c r="U63" s="39"/>
      <c r="V63" s="39"/>
      <c r="W63" s="39"/>
      <c r="X63" s="38"/>
      <c r="Y63" s="38"/>
      <c r="Z63" s="38"/>
    </row>
    <row r="64" spans="1:26" ht="15.75" customHeight="1">
      <c r="A64" s="1"/>
      <c r="B64" s="15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11"/>
      <c r="Q64" s="37"/>
      <c r="R64" s="37"/>
      <c r="S64" s="37"/>
      <c r="T64" s="37"/>
      <c r="U64" s="37"/>
      <c r="V64" s="37"/>
      <c r="W64" s="37"/>
      <c r="X64" s="1"/>
      <c r="Y64" s="1"/>
      <c r="Z64" s="1"/>
    </row>
    <row r="65" spans="1:26" ht="15.75" customHeight="1">
      <c r="A65" s="1"/>
      <c r="B65" s="15"/>
      <c r="C65" s="204" t="s">
        <v>31</v>
      </c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1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5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1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2"/>
      <c r="B67" s="15"/>
      <c r="C67" s="204" t="s">
        <v>32</v>
      </c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11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>
      <c r="A68" s="38"/>
      <c r="B68" s="15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11"/>
      <c r="Q68" s="39"/>
      <c r="R68" s="39"/>
      <c r="S68" s="39"/>
      <c r="T68" s="39"/>
      <c r="U68" s="39"/>
      <c r="V68" s="39"/>
      <c r="W68" s="39"/>
      <c r="X68" s="38"/>
      <c r="Y68" s="38"/>
      <c r="Z68" s="38"/>
    </row>
    <row r="69" spans="1:26" ht="15.75" customHeight="1">
      <c r="A69" s="1"/>
      <c r="B69" s="15"/>
      <c r="C69" s="204" t="s">
        <v>33</v>
      </c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11"/>
      <c r="Q69" s="37"/>
      <c r="R69" s="37"/>
      <c r="S69" s="37"/>
      <c r="T69" s="37"/>
      <c r="U69" s="37"/>
      <c r="V69" s="37"/>
      <c r="W69" s="37"/>
      <c r="X69" s="1"/>
      <c r="Y69" s="1"/>
      <c r="Z69" s="1"/>
    </row>
    <row r="70" spans="1:26" ht="15.75" customHeight="1">
      <c r="A70" s="1"/>
      <c r="B70" s="15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1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38"/>
      <c r="B71" s="15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11"/>
      <c r="Q71" s="39"/>
      <c r="R71" s="39"/>
      <c r="S71" s="39"/>
      <c r="T71" s="39"/>
      <c r="U71" s="39"/>
      <c r="V71" s="39"/>
      <c r="W71" s="39"/>
      <c r="X71" s="38"/>
      <c r="Y71" s="38"/>
      <c r="Z71" s="38"/>
    </row>
    <row r="72" spans="1:26" ht="30" customHeight="1">
      <c r="A72" s="1"/>
      <c r="B72" s="15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11"/>
      <c r="Q72" s="37"/>
      <c r="R72" s="37"/>
      <c r="S72" s="37"/>
      <c r="T72" s="37"/>
      <c r="U72" s="37"/>
      <c r="V72" s="37"/>
      <c r="W72" s="37"/>
      <c r="X72" s="1"/>
      <c r="Y72" s="1"/>
      <c r="Z72" s="1"/>
    </row>
    <row r="73" spans="1:26" ht="15.75" customHeight="1">
      <c r="A73" s="1"/>
      <c r="B73" s="15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1"/>
      <c r="N73" s="32" t="s">
        <v>34</v>
      </c>
      <c r="O73" s="42">
        <f ca="1">TODAY()</f>
        <v>46013</v>
      </c>
      <c r="P73" s="1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5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3"/>
      <c r="O74" s="44"/>
      <c r="P74" s="1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5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3"/>
      <c r="O75" s="44"/>
      <c r="P75" s="1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45" customHeight="1">
      <c r="A76" s="1"/>
      <c r="B76" s="15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1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2"/>
      <c r="B77" s="15"/>
      <c r="C77" s="1"/>
      <c r="D77" s="1"/>
      <c r="E77" s="1"/>
      <c r="F77" s="12"/>
      <c r="G77" s="143"/>
      <c r="H77" s="144"/>
      <c r="I77" s="144"/>
      <c r="J77" s="144"/>
      <c r="K77" s="1"/>
      <c r="L77" s="145"/>
      <c r="M77" s="143"/>
      <c r="N77" s="143"/>
      <c r="O77" s="144"/>
      <c r="P77" s="11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>
      <c r="A78" s="1"/>
      <c r="B78" s="15"/>
      <c r="C78" s="213" t="s">
        <v>35</v>
      </c>
      <c r="D78" s="213"/>
      <c r="E78" s="23"/>
      <c r="F78" s="1"/>
      <c r="G78" s="32" t="s">
        <v>36</v>
      </c>
      <c r="H78" s="1"/>
      <c r="I78" s="1"/>
      <c r="J78" s="1"/>
      <c r="K78" s="28"/>
      <c r="L78" s="28" t="s">
        <v>37</v>
      </c>
      <c r="M78" s="23"/>
      <c r="N78" s="23"/>
      <c r="O78" s="1"/>
      <c r="P78" s="11"/>
      <c r="Q78" s="37"/>
      <c r="R78" s="37"/>
      <c r="S78" s="37"/>
      <c r="T78" s="37"/>
      <c r="U78" s="37"/>
      <c r="V78" s="37"/>
      <c r="W78" s="37"/>
      <c r="X78" s="1"/>
      <c r="Y78" s="1"/>
      <c r="Z78" s="1"/>
    </row>
    <row r="79" spans="1:26" ht="15.75" customHeight="1">
      <c r="A79" s="45"/>
      <c r="B79" s="46"/>
      <c r="C79" s="47"/>
      <c r="D79" s="47"/>
      <c r="E79" s="48"/>
      <c r="F79" s="45"/>
      <c r="G79" s="49" t="str">
        <f>IFERROR(VLOOKUP($D$15,'Inventario TI'!$A$4:$EE$438,65,FALSE),"NA")</f>
        <v>JAMMES ARELLANO</v>
      </c>
      <c r="H79" s="45"/>
      <c r="I79" s="45"/>
      <c r="J79" s="45"/>
      <c r="K79" s="49"/>
      <c r="L79" s="49" t="str">
        <f>+D18</f>
        <v>VALENCIA LEON, EVA BRUNELLA</v>
      </c>
      <c r="M79" s="48"/>
      <c r="N79" s="48"/>
      <c r="O79" s="45"/>
      <c r="P79" s="50"/>
      <c r="Q79" s="51"/>
      <c r="R79" s="51"/>
      <c r="S79" s="51"/>
      <c r="T79" s="51"/>
      <c r="U79" s="51"/>
      <c r="V79" s="51"/>
      <c r="W79" s="51"/>
      <c r="X79" s="45"/>
      <c r="Y79" s="45"/>
      <c r="Z79" s="45"/>
    </row>
    <row r="80" spans="1:26" ht="15.75" customHeight="1">
      <c r="A80" s="38"/>
      <c r="B80" s="15"/>
      <c r="C80" s="25"/>
      <c r="D80" s="25"/>
      <c r="E80" s="23"/>
      <c r="F80" s="28"/>
      <c r="G80" s="214">
        <v>73371981</v>
      </c>
      <c r="H80" s="214"/>
      <c r="I80" s="214"/>
      <c r="J80" s="214"/>
      <c r="K80" s="28"/>
      <c r="L80" s="214">
        <f>+D17</f>
        <v>74964897</v>
      </c>
      <c r="M80" s="214"/>
      <c r="N80" s="214"/>
      <c r="O80" s="38"/>
      <c r="P80" s="11"/>
      <c r="Q80" s="39"/>
      <c r="R80" s="39"/>
      <c r="S80" s="39"/>
      <c r="T80" s="39"/>
      <c r="U80" s="39"/>
      <c r="V80" s="39"/>
      <c r="W80" s="39"/>
      <c r="X80" s="38"/>
      <c r="Y80" s="38"/>
      <c r="Z80" s="38"/>
    </row>
    <row r="81" spans="1:26" ht="15.75" customHeight="1">
      <c r="A81" s="1"/>
      <c r="B81" s="15"/>
      <c r="C81" s="1"/>
      <c r="D81" s="1"/>
      <c r="E81" s="1"/>
      <c r="F81" s="52"/>
      <c r="G81" s="1"/>
      <c r="H81" s="1"/>
      <c r="I81" s="1"/>
      <c r="J81" s="1"/>
      <c r="K81" s="1"/>
      <c r="L81" s="1"/>
      <c r="M81" s="1"/>
      <c r="N81" s="1"/>
      <c r="O81" s="1"/>
      <c r="P81" s="11"/>
      <c r="Q81" s="37"/>
      <c r="R81" s="37"/>
      <c r="S81" s="37"/>
      <c r="T81" s="37"/>
      <c r="U81" s="37"/>
      <c r="V81" s="37"/>
      <c r="W81" s="37"/>
      <c r="X81" s="1"/>
      <c r="Y81" s="1"/>
      <c r="Z81" s="1"/>
    </row>
    <row r="82" spans="1:26" ht="15.75" customHeight="1">
      <c r="A82" s="38"/>
      <c r="B82" s="1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1"/>
      <c r="Q82" s="39"/>
      <c r="R82" s="39"/>
      <c r="S82" s="39"/>
      <c r="T82" s="39"/>
      <c r="U82" s="39"/>
      <c r="V82" s="39"/>
      <c r="W82" s="39"/>
      <c r="X82" s="38"/>
      <c r="Y82" s="38"/>
      <c r="Z82" s="38"/>
    </row>
    <row r="83" spans="1:26" ht="14.45">
      <c r="A83" s="1"/>
      <c r="Q83" s="37"/>
      <c r="R83" s="37"/>
      <c r="S83" s="37"/>
      <c r="T83" s="37"/>
      <c r="U83" s="37"/>
      <c r="V83" s="37"/>
      <c r="W83" s="37"/>
      <c r="X83" s="1"/>
      <c r="Y83" s="1"/>
      <c r="Z83" s="1"/>
    </row>
    <row r="84" spans="1:26" ht="15.75" customHeight="1">
      <c r="A84" s="1"/>
      <c r="B84" s="168" t="s">
        <v>38</v>
      </c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customHeight="1">
      <c r="A88" s="1"/>
      <c r="B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</sheetData>
  <mergeCells count="66">
    <mergeCell ref="B11:C13"/>
    <mergeCell ref="C78:D78"/>
    <mergeCell ref="G80:J80"/>
    <mergeCell ref="L80:N80"/>
    <mergeCell ref="L18:O18"/>
    <mergeCell ref="L19:O21"/>
    <mergeCell ref="C29:F29"/>
    <mergeCell ref="C30:E30"/>
    <mergeCell ref="N30:O30"/>
    <mergeCell ref="D31:E31"/>
    <mergeCell ref="D32:E32"/>
    <mergeCell ref="I30:K30"/>
    <mergeCell ref="I36:K36"/>
    <mergeCell ref="I42:K42"/>
    <mergeCell ref="I48:K48"/>
    <mergeCell ref="C65:O66"/>
    <mergeCell ref="D35:E35"/>
    <mergeCell ref="D36:E36"/>
    <mergeCell ref="D34:E34"/>
    <mergeCell ref="D18:J18"/>
    <mergeCell ref="D19:J19"/>
    <mergeCell ref="D20:J20"/>
    <mergeCell ref="D21:J21"/>
    <mergeCell ref="C24:O27"/>
    <mergeCell ref="D33:E33"/>
    <mergeCell ref="D49:E49"/>
    <mergeCell ref="D46:E46"/>
    <mergeCell ref="D45:E45"/>
    <mergeCell ref="D44:E44"/>
    <mergeCell ref="C69:O70"/>
    <mergeCell ref="C67:O68"/>
    <mergeCell ref="C59:O60"/>
    <mergeCell ref="C61:O62"/>
    <mergeCell ref="C63:O64"/>
    <mergeCell ref="O11:P11"/>
    <mergeCell ref="D11:N11"/>
    <mergeCell ref="I57:J57"/>
    <mergeCell ref="I53:J53"/>
    <mergeCell ref="I54:K54"/>
    <mergeCell ref="D51:E51"/>
    <mergeCell ref="D52:E52"/>
    <mergeCell ref="I55:J55"/>
    <mergeCell ref="N36:O36"/>
    <mergeCell ref="N42:O42"/>
    <mergeCell ref="N48:O48"/>
    <mergeCell ref="D50:E50"/>
    <mergeCell ref="I56:J56"/>
    <mergeCell ref="N54:O54"/>
    <mergeCell ref="N55:O57"/>
    <mergeCell ref="D40:E40"/>
    <mergeCell ref="B84:P84"/>
    <mergeCell ref="D43:E43"/>
    <mergeCell ref="C48:E48"/>
    <mergeCell ref="O13:P13"/>
    <mergeCell ref="O12:P12"/>
    <mergeCell ref="D12:N13"/>
    <mergeCell ref="D39:E39"/>
    <mergeCell ref="D38:E38"/>
    <mergeCell ref="C37:E37"/>
    <mergeCell ref="C42:E42"/>
    <mergeCell ref="D15:J15"/>
    <mergeCell ref="D16:J16"/>
    <mergeCell ref="L16:O16"/>
    <mergeCell ref="D17:J17"/>
    <mergeCell ref="L17:O17"/>
    <mergeCell ref="L15:O15"/>
  </mergeCells>
  <printOptions horizontalCentered="1"/>
  <pageMargins left="3.937007874015748E-2" right="3.937007874015748E-2" top="0.19685039370078741" bottom="0.19685039370078741" header="0" footer="0"/>
  <pageSetup paperSize="9"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A820-86AF-4571-94D6-43B2211D2A4F}">
  <dimension ref="A2:DK49"/>
  <sheetViews>
    <sheetView topLeftCell="U21" workbookViewId="0">
      <selection activeCell="AM37" sqref="AM37"/>
    </sheetView>
  </sheetViews>
  <sheetFormatPr defaultColWidth="11.42578125" defaultRowHeight="14.45"/>
  <cols>
    <col min="2" max="2" width="33.85546875" customWidth="1"/>
    <col min="4" max="4" width="23.7109375" customWidth="1"/>
    <col min="5" max="5" width="28.28515625" customWidth="1"/>
    <col min="7" max="7" width="33.140625" customWidth="1"/>
    <col min="8" max="8" width="47.7109375" customWidth="1"/>
    <col min="9" max="9" width="21.42578125" customWidth="1"/>
    <col min="10" max="10" width="17.5703125" customWidth="1"/>
    <col min="11" max="11" width="19.7109375" customWidth="1"/>
    <col min="12" max="12" width="16.28515625" customWidth="1"/>
    <col min="14" max="14" width="14" customWidth="1"/>
    <col min="15" max="15" width="13.7109375" customWidth="1"/>
    <col min="16" max="16" width="33.28515625" customWidth="1"/>
    <col min="21" max="21" width="17.28515625" customWidth="1"/>
    <col min="24" max="24" width="15.42578125" customWidth="1"/>
    <col min="25" max="25" width="16.7109375" customWidth="1"/>
    <col min="28" max="28" width="14.85546875" customWidth="1"/>
    <col min="30" max="30" width="25" customWidth="1"/>
    <col min="32" max="32" width="17.7109375" customWidth="1"/>
    <col min="36" max="36" width="16.5703125" customWidth="1"/>
    <col min="39" max="39" width="14" customWidth="1"/>
    <col min="40" max="40" width="18.5703125" customWidth="1"/>
    <col min="41" max="41" width="17.140625" customWidth="1"/>
    <col min="44" max="44" width="17.42578125" customWidth="1"/>
    <col min="49" max="49" width="22.42578125" customWidth="1"/>
    <col min="64" max="64" width="17.28515625" customWidth="1"/>
    <col min="65" max="65" width="18.85546875" customWidth="1"/>
    <col min="66" max="66" width="33.7109375" customWidth="1"/>
  </cols>
  <sheetData>
    <row r="2" spans="1:11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  <c r="AY2">
        <v>51</v>
      </c>
      <c r="AZ2">
        <v>52</v>
      </c>
      <c r="BA2">
        <v>53</v>
      </c>
      <c r="BB2">
        <v>54</v>
      </c>
      <c r="BC2">
        <v>55</v>
      </c>
      <c r="BD2">
        <v>56</v>
      </c>
      <c r="BE2">
        <v>57</v>
      </c>
      <c r="BF2">
        <v>58</v>
      </c>
      <c r="BG2">
        <v>59</v>
      </c>
      <c r="BH2">
        <v>60</v>
      </c>
      <c r="BI2">
        <v>61</v>
      </c>
      <c r="BJ2">
        <v>62</v>
      </c>
      <c r="BK2">
        <v>63</v>
      </c>
      <c r="BL2">
        <v>64</v>
      </c>
      <c r="BM2">
        <v>65</v>
      </c>
      <c r="BN2">
        <v>66</v>
      </c>
      <c r="BO2">
        <v>67</v>
      </c>
      <c r="BP2">
        <v>68</v>
      </c>
      <c r="BQ2">
        <v>69</v>
      </c>
      <c r="BR2">
        <v>70</v>
      </c>
      <c r="BS2">
        <v>71</v>
      </c>
      <c r="BT2">
        <v>72</v>
      </c>
      <c r="BU2">
        <v>73</v>
      </c>
      <c r="BV2">
        <v>74</v>
      </c>
      <c r="BW2">
        <v>75</v>
      </c>
      <c r="BX2">
        <v>76</v>
      </c>
      <c r="BY2">
        <v>77</v>
      </c>
      <c r="BZ2">
        <v>78</v>
      </c>
      <c r="CA2">
        <v>79</v>
      </c>
      <c r="CB2">
        <v>80</v>
      </c>
      <c r="CC2">
        <v>81</v>
      </c>
      <c r="CD2">
        <v>82</v>
      </c>
      <c r="CE2">
        <v>83</v>
      </c>
      <c r="CF2">
        <v>84</v>
      </c>
      <c r="CG2">
        <v>85</v>
      </c>
      <c r="CH2">
        <v>86</v>
      </c>
      <c r="CI2">
        <v>87</v>
      </c>
      <c r="CJ2">
        <v>88</v>
      </c>
      <c r="CK2">
        <v>89</v>
      </c>
      <c r="CL2">
        <v>90</v>
      </c>
      <c r="CM2">
        <v>91</v>
      </c>
      <c r="CN2">
        <v>92</v>
      </c>
      <c r="CO2">
        <v>93</v>
      </c>
      <c r="CP2">
        <v>94</v>
      </c>
      <c r="CQ2">
        <v>95</v>
      </c>
      <c r="CR2">
        <v>96</v>
      </c>
      <c r="CS2">
        <v>97</v>
      </c>
      <c r="CT2">
        <v>98</v>
      </c>
      <c r="CU2">
        <v>99</v>
      </c>
      <c r="CV2">
        <v>100</v>
      </c>
      <c r="CW2">
        <v>101</v>
      </c>
      <c r="CX2">
        <v>102</v>
      </c>
      <c r="CY2">
        <v>103</v>
      </c>
      <c r="CZ2">
        <v>104</v>
      </c>
      <c r="DA2">
        <v>105</v>
      </c>
      <c r="DB2">
        <v>106</v>
      </c>
      <c r="DC2">
        <v>107</v>
      </c>
      <c r="DD2">
        <v>108</v>
      </c>
      <c r="DE2">
        <v>109</v>
      </c>
      <c r="DF2">
        <v>110</v>
      </c>
      <c r="DG2">
        <v>111</v>
      </c>
      <c r="DH2">
        <v>112</v>
      </c>
      <c r="DI2">
        <v>113</v>
      </c>
      <c r="DJ2">
        <v>114</v>
      </c>
      <c r="DK2">
        <v>115</v>
      </c>
    </row>
    <row r="3" spans="1:115">
      <c r="A3" s="237" t="s">
        <v>39</v>
      </c>
      <c r="B3" s="237"/>
      <c r="C3" s="237"/>
      <c r="D3" s="237"/>
      <c r="E3" s="237"/>
      <c r="F3" s="237"/>
      <c r="G3" s="237"/>
      <c r="H3" s="237"/>
      <c r="I3" s="233" t="s">
        <v>40</v>
      </c>
      <c r="J3" s="231"/>
      <c r="K3" s="231"/>
      <c r="L3" s="231"/>
      <c r="M3" s="231"/>
      <c r="N3" s="231"/>
      <c r="O3" s="231"/>
      <c r="P3" s="231"/>
      <c r="Q3" s="231"/>
      <c r="R3" s="232"/>
      <c r="S3" s="237" t="s">
        <v>41</v>
      </c>
      <c r="T3" s="237"/>
      <c r="U3" s="237"/>
      <c r="V3" s="233" t="s">
        <v>24</v>
      </c>
      <c r="W3" s="231"/>
      <c r="X3" s="231"/>
      <c r="Y3" s="232"/>
      <c r="Z3" s="233" t="s">
        <v>26</v>
      </c>
      <c r="AA3" s="231"/>
      <c r="AB3" s="232"/>
      <c r="AC3" s="233" t="s">
        <v>15</v>
      </c>
      <c r="AD3" s="231"/>
      <c r="AE3" s="231"/>
      <c r="AF3" s="232"/>
      <c r="AG3" s="233" t="s">
        <v>22</v>
      </c>
      <c r="AH3" s="231"/>
      <c r="AI3" s="231"/>
      <c r="AJ3" s="232"/>
      <c r="AK3" s="233" t="s">
        <v>25</v>
      </c>
      <c r="AL3" s="231"/>
      <c r="AM3" s="231"/>
      <c r="AN3" s="232"/>
      <c r="AO3" s="234" t="s">
        <v>27</v>
      </c>
      <c r="AP3" s="235"/>
      <c r="AQ3" s="235"/>
      <c r="AR3" s="236"/>
      <c r="AS3" s="234" t="s">
        <v>42</v>
      </c>
      <c r="AT3" s="235"/>
      <c r="AU3" s="235"/>
      <c r="AV3" s="235"/>
      <c r="AW3" s="235"/>
      <c r="AX3" s="235"/>
      <c r="AY3" s="235"/>
      <c r="AZ3" s="235"/>
      <c r="BA3" s="235"/>
      <c r="BB3" s="235"/>
      <c r="BC3" s="235"/>
      <c r="BD3" s="235"/>
      <c r="BE3" s="235"/>
      <c r="BF3" s="235"/>
      <c r="BG3" s="235"/>
      <c r="BH3" s="235"/>
      <c r="BI3" s="235"/>
      <c r="BJ3" s="235"/>
      <c r="BK3" s="235"/>
      <c r="BL3" s="235"/>
      <c r="BM3" s="231" t="s">
        <v>43</v>
      </c>
      <c r="BN3" s="232"/>
    </row>
    <row r="4" spans="1:115">
      <c r="A4" s="166" t="s">
        <v>44</v>
      </c>
      <c r="B4" s="167" t="s">
        <v>45</v>
      </c>
      <c r="C4" s="167" t="s">
        <v>46</v>
      </c>
      <c r="D4" s="167" t="s">
        <v>47</v>
      </c>
      <c r="E4" s="167" t="s">
        <v>48</v>
      </c>
      <c r="F4" s="167" t="s">
        <v>49</v>
      </c>
      <c r="G4" s="167" t="s">
        <v>50</v>
      </c>
      <c r="H4" s="167" t="s">
        <v>51</v>
      </c>
      <c r="I4" s="167" t="s">
        <v>52</v>
      </c>
      <c r="J4" s="167" t="s">
        <v>53</v>
      </c>
      <c r="K4" s="167" t="s">
        <v>54</v>
      </c>
      <c r="L4" s="167" t="s">
        <v>55</v>
      </c>
      <c r="M4" s="167" t="s">
        <v>56</v>
      </c>
      <c r="N4" s="167" t="s">
        <v>57</v>
      </c>
      <c r="O4" s="167" t="s">
        <v>58</v>
      </c>
      <c r="P4" s="167" t="s">
        <v>59</v>
      </c>
      <c r="Q4" s="167" t="s">
        <v>60</v>
      </c>
      <c r="R4" s="167" t="s">
        <v>61</v>
      </c>
      <c r="S4" s="167" t="s">
        <v>56</v>
      </c>
      <c r="T4" s="167" t="s">
        <v>62</v>
      </c>
      <c r="U4" s="167" t="s">
        <v>58</v>
      </c>
      <c r="V4" s="167" t="s">
        <v>56</v>
      </c>
      <c r="W4" s="167" t="s">
        <v>62</v>
      </c>
      <c r="X4" s="167" t="s">
        <v>58</v>
      </c>
      <c r="Y4" s="167" t="s">
        <v>63</v>
      </c>
      <c r="Z4" s="167" t="s">
        <v>56</v>
      </c>
      <c r="AA4" s="167" t="s">
        <v>62</v>
      </c>
      <c r="AB4" s="167" t="s">
        <v>58</v>
      </c>
      <c r="AC4" s="167" t="s">
        <v>56</v>
      </c>
      <c r="AD4" s="167" t="s">
        <v>62</v>
      </c>
      <c r="AE4" s="167" t="s">
        <v>58</v>
      </c>
      <c r="AF4" s="167" t="s">
        <v>63</v>
      </c>
      <c r="AG4" s="167" t="s">
        <v>56</v>
      </c>
      <c r="AH4" s="167" t="s">
        <v>62</v>
      </c>
      <c r="AI4" s="167" t="s">
        <v>58</v>
      </c>
      <c r="AJ4" s="167" t="s">
        <v>63</v>
      </c>
      <c r="AK4" s="167" t="s">
        <v>56</v>
      </c>
      <c r="AL4" s="167" t="s">
        <v>62</v>
      </c>
      <c r="AM4" s="167" t="s">
        <v>58</v>
      </c>
      <c r="AN4" s="167" t="s">
        <v>63</v>
      </c>
      <c r="AO4" s="167" t="s">
        <v>56</v>
      </c>
      <c r="AP4" s="167" t="s">
        <v>62</v>
      </c>
      <c r="AQ4" s="167" t="s">
        <v>58</v>
      </c>
      <c r="AR4" s="167" t="s">
        <v>63</v>
      </c>
      <c r="AS4" s="167" t="s">
        <v>64</v>
      </c>
      <c r="AT4" s="167" t="s">
        <v>56</v>
      </c>
      <c r="AU4" s="167" t="s">
        <v>62</v>
      </c>
      <c r="AV4" s="167" t="s">
        <v>58</v>
      </c>
      <c r="AW4" s="167" t="s">
        <v>63</v>
      </c>
      <c r="AX4" s="167" t="s">
        <v>64</v>
      </c>
      <c r="AY4" s="167" t="s">
        <v>56</v>
      </c>
      <c r="AZ4" s="167" t="s">
        <v>62</v>
      </c>
      <c r="BA4" s="167" t="s">
        <v>58</v>
      </c>
      <c r="BB4" s="167" t="s">
        <v>63</v>
      </c>
      <c r="BC4" s="167" t="s">
        <v>64</v>
      </c>
      <c r="BD4" s="167" t="s">
        <v>56</v>
      </c>
      <c r="BE4" s="167" t="s">
        <v>62</v>
      </c>
      <c r="BF4" s="167" t="s">
        <v>58</v>
      </c>
      <c r="BG4" s="167" t="s">
        <v>63</v>
      </c>
      <c r="BH4" s="167" t="s">
        <v>64</v>
      </c>
      <c r="BI4" s="167" t="s">
        <v>56</v>
      </c>
      <c r="BJ4" s="167" t="s">
        <v>62</v>
      </c>
      <c r="BK4" s="167" t="s">
        <v>58</v>
      </c>
      <c r="BL4" s="167" t="s">
        <v>63</v>
      </c>
      <c r="BM4" s="167" t="s">
        <v>65</v>
      </c>
      <c r="BN4" s="167" t="s">
        <v>66</v>
      </c>
    </row>
    <row r="5" spans="1:115">
      <c r="A5" s="138">
        <v>1</v>
      </c>
      <c r="B5" s="163" t="s">
        <v>67</v>
      </c>
      <c r="C5" s="139">
        <v>46386653</v>
      </c>
      <c r="D5" s="163" t="s">
        <v>68</v>
      </c>
      <c r="E5" s="163" t="s">
        <v>69</v>
      </c>
      <c r="F5" s="163" t="s">
        <v>70</v>
      </c>
      <c r="G5" s="163" t="s">
        <v>71</v>
      </c>
      <c r="H5" s="163" t="s">
        <v>72</v>
      </c>
      <c r="I5" s="163" t="s">
        <v>73</v>
      </c>
      <c r="J5" s="163" t="s">
        <v>74</v>
      </c>
      <c r="K5" s="163" t="s">
        <v>75</v>
      </c>
      <c r="L5" s="163" t="s">
        <v>76</v>
      </c>
      <c r="M5" s="163" t="s">
        <v>77</v>
      </c>
      <c r="N5" s="163" t="s">
        <v>78</v>
      </c>
      <c r="O5" s="163" t="s">
        <v>79</v>
      </c>
      <c r="P5" s="163" t="s">
        <v>80</v>
      </c>
      <c r="Q5" s="163" t="s">
        <v>81</v>
      </c>
      <c r="R5" s="163" t="s">
        <v>82</v>
      </c>
      <c r="S5" s="163" t="s">
        <v>77</v>
      </c>
      <c r="T5" s="139" t="s">
        <v>83</v>
      </c>
      <c r="U5" s="163" t="s">
        <v>84</v>
      </c>
      <c r="V5" s="163" t="s">
        <v>77</v>
      </c>
      <c r="W5" s="163" t="s">
        <v>85</v>
      </c>
      <c r="X5" s="163" t="s">
        <v>86</v>
      </c>
      <c r="Y5" s="163" t="s">
        <v>76</v>
      </c>
      <c r="Z5" s="163" t="s">
        <v>77</v>
      </c>
      <c r="AA5" s="163" t="s">
        <v>87</v>
      </c>
      <c r="AB5" s="163" t="s">
        <v>86</v>
      </c>
      <c r="AC5" s="163" t="s">
        <v>76</v>
      </c>
      <c r="AD5" s="163" t="s">
        <v>76</v>
      </c>
      <c r="AE5" s="163" t="s">
        <v>76</v>
      </c>
      <c r="AF5" s="163" t="s">
        <v>76</v>
      </c>
      <c r="AG5" s="163" t="s">
        <v>77</v>
      </c>
      <c r="AH5" s="163" t="s">
        <v>88</v>
      </c>
      <c r="AI5" s="163" t="s">
        <v>76</v>
      </c>
      <c r="AJ5" s="163" t="s">
        <v>76</v>
      </c>
      <c r="AK5" s="163" t="s">
        <v>77</v>
      </c>
      <c r="AL5" s="163" t="s">
        <v>89</v>
      </c>
      <c r="AM5" s="163" t="s">
        <v>90</v>
      </c>
      <c r="AN5" s="163" t="s">
        <v>76</v>
      </c>
      <c r="AO5" s="163" t="s">
        <v>76</v>
      </c>
      <c r="AP5" s="163" t="s">
        <v>76</v>
      </c>
      <c r="AQ5" s="163" t="s">
        <v>76</v>
      </c>
      <c r="AR5" s="163" t="s">
        <v>76</v>
      </c>
      <c r="AS5" s="163" t="s">
        <v>91</v>
      </c>
      <c r="AT5" s="163" t="s">
        <v>77</v>
      </c>
      <c r="AU5" s="163" t="s">
        <v>76</v>
      </c>
      <c r="AV5" s="163" t="s">
        <v>76</v>
      </c>
      <c r="AW5" s="163" t="s">
        <v>76</v>
      </c>
      <c r="AX5" s="163" t="s">
        <v>76</v>
      </c>
      <c r="AY5" s="163" t="s">
        <v>76</v>
      </c>
      <c r="AZ5" s="163" t="s">
        <v>76</v>
      </c>
      <c r="BA5" s="163" t="s">
        <v>76</v>
      </c>
      <c r="BB5" s="163" t="s">
        <v>76</v>
      </c>
      <c r="BC5" s="163" t="s">
        <v>76</v>
      </c>
      <c r="BD5" s="163" t="s">
        <v>76</v>
      </c>
      <c r="BE5" s="163" t="s">
        <v>76</v>
      </c>
      <c r="BF5" s="163" t="s">
        <v>76</v>
      </c>
      <c r="BG5" s="163" t="s">
        <v>76</v>
      </c>
      <c r="BH5" s="163" t="s">
        <v>76</v>
      </c>
      <c r="BI5" s="163" t="s">
        <v>76</v>
      </c>
      <c r="BJ5" s="163" t="s">
        <v>76</v>
      </c>
      <c r="BK5" s="163" t="s">
        <v>76</v>
      </c>
      <c r="BL5" s="163" t="s">
        <v>76</v>
      </c>
      <c r="BM5" s="163" t="s">
        <v>92</v>
      </c>
      <c r="BN5" s="163" t="s">
        <v>93</v>
      </c>
    </row>
    <row r="6" spans="1:115">
      <c r="A6" s="138">
        <v>2</v>
      </c>
      <c r="B6" s="163" t="s">
        <v>67</v>
      </c>
      <c r="C6" s="139">
        <v>45133198</v>
      </c>
      <c r="D6" s="139" t="s">
        <v>94</v>
      </c>
      <c r="E6" s="139" t="s">
        <v>95</v>
      </c>
      <c r="F6" s="139" t="s">
        <v>70</v>
      </c>
      <c r="G6" s="139" t="s">
        <v>71</v>
      </c>
      <c r="H6" s="139" t="s">
        <v>96</v>
      </c>
      <c r="I6" s="139" t="s">
        <v>73</v>
      </c>
      <c r="J6" s="139" t="s">
        <v>74</v>
      </c>
      <c r="K6" s="139" t="s">
        <v>97</v>
      </c>
      <c r="L6" s="139" t="s">
        <v>76</v>
      </c>
      <c r="M6" s="139" t="s">
        <v>77</v>
      </c>
      <c r="N6" s="163" t="s">
        <v>78</v>
      </c>
      <c r="O6" s="139" t="s">
        <v>98</v>
      </c>
      <c r="P6" s="163" t="s">
        <v>80</v>
      </c>
      <c r="Q6" s="163" t="s">
        <v>81</v>
      </c>
      <c r="R6" s="163" t="s">
        <v>82</v>
      </c>
      <c r="S6" s="139" t="s">
        <v>77</v>
      </c>
      <c r="T6" s="139" t="s">
        <v>99</v>
      </c>
      <c r="U6" s="139" t="s">
        <v>100</v>
      </c>
      <c r="V6" s="139" t="s">
        <v>77</v>
      </c>
      <c r="W6" s="163" t="s">
        <v>85</v>
      </c>
      <c r="X6" s="139" t="s">
        <v>101</v>
      </c>
      <c r="Y6" s="139" t="s">
        <v>76</v>
      </c>
      <c r="Z6" s="139" t="s">
        <v>77</v>
      </c>
      <c r="AA6" s="163" t="s">
        <v>87</v>
      </c>
      <c r="AB6" s="139" t="s">
        <v>101</v>
      </c>
      <c r="AC6" s="139" t="s">
        <v>76</v>
      </c>
      <c r="AD6" s="163" t="s">
        <v>76</v>
      </c>
      <c r="AE6" s="139" t="s">
        <v>76</v>
      </c>
      <c r="AF6" s="139" t="s">
        <v>76</v>
      </c>
      <c r="AG6" s="139" t="s">
        <v>77</v>
      </c>
      <c r="AH6" s="163" t="s">
        <v>88</v>
      </c>
      <c r="AI6" s="139" t="s">
        <v>76</v>
      </c>
      <c r="AJ6" s="139" t="s">
        <v>76</v>
      </c>
      <c r="AK6" s="139" t="s">
        <v>77</v>
      </c>
      <c r="AL6" s="163" t="s">
        <v>89</v>
      </c>
      <c r="AM6" s="139" t="s">
        <v>102</v>
      </c>
      <c r="AN6" s="139" t="s">
        <v>76</v>
      </c>
      <c r="AO6" s="139" t="s">
        <v>76</v>
      </c>
      <c r="AP6" s="139" t="s">
        <v>76</v>
      </c>
      <c r="AQ6" s="139" t="s">
        <v>76</v>
      </c>
      <c r="AR6" s="139" t="s">
        <v>76</v>
      </c>
      <c r="AS6" s="139" t="s">
        <v>91</v>
      </c>
      <c r="AT6" s="139" t="s">
        <v>77</v>
      </c>
      <c r="AU6" s="139" t="s">
        <v>76</v>
      </c>
      <c r="AV6" s="139" t="s">
        <v>76</v>
      </c>
      <c r="AW6" s="139" t="s">
        <v>76</v>
      </c>
      <c r="AX6" s="139" t="s">
        <v>76</v>
      </c>
      <c r="AY6" s="139" t="s">
        <v>76</v>
      </c>
      <c r="AZ6" s="139" t="s">
        <v>76</v>
      </c>
      <c r="BA6" s="139" t="s">
        <v>76</v>
      </c>
      <c r="BB6" s="139" t="s">
        <v>76</v>
      </c>
      <c r="BC6" s="139" t="s">
        <v>76</v>
      </c>
      <c r="BD6" s="139" t="s">
        <v>76</v>
      </c>
      <c r="BE6" s="139" t="s">
        <v>76</v>
      </c>
      <c r="BF6" s="139" t="s">
        <v>76</v>
      </c>
      <c r="BG6" s="139" t="s">
        <v>76</v>
      </c>
      <c r="BH6" s="139" t="s">
        <v>76</v>
      </c>
      <c r="BI6" s="139" t="s">
        <v>76</v>
      </c>
      <c r="BJ6" s="139" t="s">
        <v>76</v>
      </c>
      <c r="BK6" s="139" t="s">
        <v>76</v>
      </c>
      <c r="BL6" s="139" t="s">
        <v>76</v>
      </c>
      <c r="BM6" s="139" t="s">
        <v>92</v>
      </c>
      <c r="BN6" s="163" t="s">
        <v>93</v>
      </c>
    </row>
    <row r="7" spans="1:115">
      <c r="A7" s="138">
        <v>3</v>
      </c>
      <c r="B7" s="139" t="s">
        <v>67</v>
      </c>
      <c r="C7" s="139">
        <v>46798117</v>
      </c>
      <c r="D7" s="139" t="s">
        <v>103</v>
      </c>
      <c r="E7" s="139" t="s">
        <v>104</v>
      </c>
      <c r="F7" s="163" t="s">
        <v>70</v>
      </c>
      <c r="G7" s="163" t="s">
        <v>105</v>
      </c>
      <c r="H7" s="163" t="s">
        <v>106</v>
      </c>
      <c r="I7" s="163" t="s">
        <v>73</v>
      </c>
      <c r="J7" s="163" t="s">
        <v>74</v>
      </c>
      <c r="K7" s="139" t="s">
        <v>107</v>
      </c>
      <c r="L7" s="139" t="s">
        <v>76</v>
      </c>
      <c r="M7" s="139" t="s">
        <v>77</v>
      </c>
      <c r="N7" s="163" t="s">
        <v>78</v>
      </c>
      <c r="O7" s="139" t="s">
        <v>108</v>
      </c>
      <c r="P7" s="163" t="s">
        <v>80</v>
      </c>
      <c r="Q7" s="163" t="s">
        <v>81</v>
      </c>
      <c r="R7" s="163" t="s">
        <v>82</v>
      </c>
      <c r="S7" s="139" t="s">
        <v>77</v>
      </c>
      <c r="T7" s="139" t="s">
        <v>83</v>
      </c>
      <c r="U7" s="163" t="s">
        <v>109</v>
      </c>
      <c r="V7" s="163" t="s">
        <v>77</v>
      </c>
      <c r="W7" s="163" t="s">
        <v>85</v>
      </c>
      <c r="X7" s="139" t="s">
        <v>110</v>
      </c>
      <c r="Y7" s="139" t="s">
        <v>76</v>
      </c>
      <c r="Z7" s="139" t="s">
        <v>77</v>
      </c>
      <c r="AA7" s="163" t="s">
        <v>87</v>
      </c>
      <c r="AB7" s="139" t="s">
        <v>110</v>
      </c>
      <c r="AC7" s="139" t="s">
        <v>111</v>
      </c>
      <c r="AD7" s="139" t="s">
        <v>112</v>
      </c>
      <c r="AE7" s="139" t="s">
        <v>113</v>
      </c>
      <c r="AF7" s="139" t="s">
        <v>114</v>
      </c>
      <c r="AG7" s="139" t="s">
        <v>77</v>
      </c>
      <c r="AH7" s="163" t="s">
        <v>88</v>
      </c>
      <c r="AI7" s="139" t="s">
        <v>76</v>
      </c>
      <c r="AJ7" s="139" t="s">
        <v>76</v>
      </c>
      <c r="AK7" s="139" t="s">
        <v>77</v>
      </c>
      <c r="AL7" s="163" t="s">
        <v>89</v>
      </c>
      <c r="AM7" s="139" t="s">
        <v>115</v>
      </c>
      <c r="AN7" s="139" t="s">
        <v>76</v>
      </c>
      <c r="AO7" s="139" t="s">
        <v>76</v>
      </c>
      <c r="AP7" s="139" t="s">
        <v>76</v>
      </c>
      <c r="AQ7" s="139" t="s">
        <v>76</v>
      </c>
      <c r="AR7" s="139" t="s">
        <v>76</v>
      </c>
      <c r="AS7" s="139" t="s">
        <v>76</v>
      </c>
      <c r="AT7" s="139" t="s">
        <v>76</v>
      </c>
      <c r="AU7" s="139" t="s">
        <v>76</v>
      </c>
      <c r="AV7" s="139" t="s">
        <v>76</v>
      </c>
      <c r="AW7" s="139" t="s">
        <v>76</v>
      </c>
      <c r="AX7" s="139" t="s">
        <v>76</v>
      </c>
      <c r="AY7" s="139" t="s">
        <v>76</v>
      </c>
      <c r="AZ7" s="139" t="s">
        <v>76</v>
      </c>
      <c r="BA7" s="139" t="s">
        <v>76</v>
      </c>
      <c r="BB7" s="139" t="s">
        <v>76</v>
      </c>
      <c r="BC7" s="139" t="s">
        <v>76</v>
      </c>
      <c r="BD7" s="139" t="s">
        <v>76</v>
      </c>
      <c r="BE7" s="139" t="s">
        <v>76</v>
      </c>
      <c r="BF7" s="139" t="s">
        <v>76</v>
      </c>
      <c r="BG7" s="139" t="s">
        <v>76</v>
      </c>
      <c r="BH7" s="139" t="s">
        <v>76</v>
      </c>
      <c r="BI7" s="139" t="s">
        <v>76</v>
      </c>
      <c r="BJ7" s="139" t="s">
        <v>76</v>
      </c>
      <c r="BK7" s="139" t="s">
        <v>76</v>
      </c>
      <c r="BL7" s="139" t="s">
        <v>76</v>
      </c>
      <c r="BM7" s="139" t="s">
        <v>116</v>
      </c>
      <c r="BN7" s="139" t="s">
        <v>93</v>
      </c>
    </row>
    <row r="8" spans="1:115">
      <c r="A8" s="138">
        <v>4</v>
      </c>
      <c r="B8" s="139" t="s">
        <v>67</v>
      </c>
      <c r="C8" s="139">
        <v>72871476</v>
      </c>
      <c r="D8" s="139" t="s">
        <v>117</v>
      </c>
      <c r="E8" s="139" t="s">
        <v>118</v>
      </c>
      <c r="F8" s="163" t="s">
        <v>70</v>
      </c>
      <c r="G8" s="163" t="s">
        <v>105</v>
      </c>
      <c r="H8" s="163" t="s">
        <v>119</v>
      </c>
      <c r="I8" s="163" t="s">
        <v>73</v>
      </c>
      <c r="J8" s="163" t="s">
        <v>74</v>
      </c>
      <c r="K8" s="139" t="s">
        <v>120</v>
      </c>
      <c r="L8" s="139" t="s">
        <v>76</v>
      </c>
      <c r="M8" s="139" t="s">
        <v>77</v>
      </c>
      <c r="N8" s="163" t="s">
        <v>78</v>
      </c>
      <c r="O8" s="139" t="s">
        <v>121</v>
      </c>
      <c r="P8" s="163" t="s">
        <v>80</v>
      </c>
      <c r="Q8" s="163" t="s">
        <v>81</v>
      </c>
      <c r="R8" s="163" t="s">
        <v>82</v>
      </c>
      <c r="S8" s="139" t="s">
        <v>77</v>
      </c>
      <c r="T8" s="139" t="s">
        <v>99</v>
      </c>
      <c r="U8" s="163" t="s">
        <v>122</v>
      </c>
      <c r="V8" s="163" t="s">
        <v>77</v>
      </c>
      <c r="W8" s="163" t="s">
        <v>85</v>
      </c>
      <c r="X8" s="139" t="s">
        <v>123</v>
      </c>
      <c r="Y8" s="139" t="s">
        <v>76</v>
      </c>
      <c r="Z8" s="139" t="s">
        <v>77</v>
      </c>
      <c r="AA8" s="163" t="s">
        <v>87</v>
      </c>
      <c r="AB8" s="139" t="s">
        <v>123</v>
      </c>
      <c r="AC8" s="139" t="s">
        <v>76</v>
      </c>
      <c r="AD8" s="139" t="s">
        <v>76</v>
      </c>
      <c r="AE8" s="139" t="s">
        <v>76</v>
      </c>
      <c r="AF8" s="139" t="s">
        <v>76</v>
      </c>
      <c r="AG8" s="139" t="s">
        <v>77</v>
      </c>
      <c r="AH8" s="163" t="s">
        <v>88</v>
      </c>
      <c r="AI8" s="139" t="s">
        <v>76</v>
      </c>
      <c r="AJ8" s="139" t="s">
        <v>76</v>
      </c>
      <c r="AK8" s="139" t="s">
        <v>77</v>
      </c>
      <c r="AL8" s="163" t="s">
        <v>89</v>
      </c>
      <c r="AM8" s="139" t="s">
        <v>124</v>
      </c>
      <c r="AN8" s="139" t="s">
        <v>76</v>
      </c>
      <c r="AO8" s="139" t="s">
        <v>76</v>
      </c>
      <c r="AP8" s="139" t="s">
        <v>76</v>
      </c>
      <c r="AQ8" s="139" t="s">
        <v>76</v>
      </c>
      <c r="AR8" s="139" t="s">
        <v>76</v>
      </c>
      <c r="AS8" s="139" t="s">
        <v>91</v>
      </c>
      <c r="AT8" s="139" t="s">
        <v>77</v>
      </c>
      <c r="AU8" s="139" t="s">
        <v>76</v>
      </c>
      <c r="AV8" s="139" t="s">
        <v>76</v>
      </c>
      <c r="AW8" s="139" t="s">
        <v>76</v>
      </c>
      <c r="AX8" s="139" t="s">
        <v>76</v>
      </c>
      <c r="AY8" s="139" t="s">
        <v>76</v>
      </c>
      <c r="AZ8" s="139" t="s">
        <v>76</v>
      </c>
      <c r="BA8" s="139" t="s">
        <v>76</v>
      </c>
      <c r="BB8" s="139" t="s">
        <v>76</v>
      </c>
      <c r="BC8" s="139" t="s">
        <v>76</v>
      </c>
      <c r="BD8" s="139" t="s">
        <v>76</v>
      </c>
      <c r="BE8" s="139" t="s">
        <v>76</v>
      </c>
      <c r="BF8" s="139" t="s">
        <v>76</v>
      </c>
      <c r="BG8" s="139" t="s">
        <v>76</v>
      </c>
      <c r="BH8" s="139" t="s">
        <v>76</v>
      </c>
      <c r="BI8" s="139" t="s">
        <v>76</v>
      </c>
      <c r="BJ8" s="139" t="s">
        <v>76</v>
      </c>
      <c r="BK8" s="139" t="s">
        <v>76</v>
      </c>
      <c r="BL8" s="139" t="s">
        <v>76</v>
      </c>
      <c r="BM8" s="139" t="s">
        <v>92</v>
      </c>
      <c r="BN8" s="139" t="s">
        <v>93</v>
      </c>
    </row>
    <row r="9" spans="1:115">
      <c r="A9" s="138">
        <v>5</v>
      </c>
      <c r="B9" s="139" t="s">
        <v>67</v>
      </c>
      <c r="C9" s="139">
        <v>41654840</v>
      </c>
      <c r="D9" s="139" t="s">
        <v>125</v>
      </c>
      <c r="E9" s="139" t="s">
        <v>126</v>
      </c>
      <c r="F9" s="139" t="s">
        <v>70</v>
      </c>
      <c r="G9" s="163" t="s">
        <v>105</v>
      </c>
      <c r="H9" s="139" t="s">
        <v>127</v>
      </c>
      <c r="I9" s="139" t="s">
        <v>73</v>
      </c>
      <c r="J9" s="139" t="s">
        <v>74</v>
      </c>
      <c r="K9" s="139" t="s">
        <v>128</v>
      </c>
      <c r="L9" s="139" t="s">
        <v>76</v>
      </c>
      <c r="M9" s="139" t="s">
        <v>77</v>
      </c>
      <c r="N9" s="139" t="s">
        <v>78</v>
      </c>
      <c r="O9" s="139" t="s">
        <v>129</v>
      </c>
      <c r="P9" s="139" t="s">
        <v>80</v>
      </c>
      <c r="Q9" s="139" t="s">
        <v>81</v>
      </c>
      <c r="R9" s="139" t="s">
        <v>82</v>
      </c>
      <c r="S9" s="139" t="s">
        <v>77</v>
      </c>
      <c r="T9" s="139" t="s">
        <v>99</v>
      </c>
      <c r="U9" s="139" t="s">
        <v>130</v>
      </c>
      <c r="V9" s="139" t="s">
        <v>77</v>
      </c>
      <c r="W9" s="139" t="s">
        <v>85</v>
      </c>
      <c r="X9" s="139" t="s">
        <v>131</v>
      </c>
      <c r="Y9" s="139" t="s">
        <v>76</v>
      </c>
      <c r="Z9" s="139" t="s">
        <v>77</v>
      </c>
      <c r="AA9" s="139" t="s">
        <v>87</v>
      </c>
      <c r="AB9" s="139" t="s">
        <v>131</v>
      </c>
      <c r="AC9" s="139" t="s">
        <v>111</v>
      </c>
      <c r="AD9" s="139" t="s">
        <v>112</v>
      </c>
      <c r="AE9" s="139" t="s">
        <v>132</v>
      </c>
      <c r="AF9" s="139" t="s">
        <v>133</v>
      </c>
      <c r="AG9" s="139" t="s">
        <v>77</v>
      </c>
      <c r="AH9" s="139" t="s">
        <v>88</v>
      </c>
      <c r="AI9" s="139" t="s">
        <v>76</v>
      </c>
      <c r="AJ9" s="139" t="s">
        <v>76</v>
      </c>
      <c r="AK9" s="139" t="s">
        <v>77</v>
      </c>
      <c r="AL9" s="139" t="s">
        <v>89</v>
      </c>
      <c r="AM9" s="139" t="s">
        <v>134</v>
      </c>
      <c r="AN9" s="139" t="s">
        <v>76</v>
      </c>
      <c r="AO9" s="139" t="s">
        <v>76</v>
      </c>
      <c r="AP9" s="139" t="s">
        <v>76</v>
      </c>
      <c r="AQ9" s="139" t="s">
        <v>76</v>
      </c>
      <c r="AR9" s="139" t="s">
        <v>76</v>
      </c>
      <c r="AS9" s="139" t="s">
        <v>91</v>
      </c>
      <c r="AT9" s="139" t="s">
        <v>77</v>
      </c>
      <c r="AU9" s="139" t="s">
        <v>76</v>
      </c>
      <c r="AV9" s="139" t="s">
        <v>76</v>
      </c>
      <c r="AW9" s="139" t="s">
        <v>76</v>
      </c>
      <c r="AX9" s="139" t="s">
        <v>76</v>
      </c>
      <c r="AY9" s="139" t="s">
        <v>76</v>
      </c>
      <c r="AZ9" s="139" t="s">
        <v>76</v>
      </c>
      <c r="BA9" s="139" t="s">
        <v>76</v>
      </c>
      <c r="BB9" s="139" t="s">
        <v>76</v>
      </c>
      <c r="BC9" s="139" t="s">
        <v>76</v>
      </c>
      <c r="BD9" s="139" t="s">
        <v>76</v>
      </c>
      <c r="BE9" s="139" t="s">
        <v>76</v>
      </c>
      <c r="BF9" s="139" t="s">
        <v>76</v>
      </c>
      <c r="BG9" s="139" t="s">
        <v>76</v>
      </c>
      <c r="BH9" s="139" t="s">
        <v>76</v>
      </c>
      <c r="BI9" s="139" t="s">
        <v>76</v>
      </c>
      <c r="BJ9" s="139" t="s">
        <v>76</v>
      </c>
      <c r="BK9" s="139" t="s">
        <v>76</v>
      </c>
      <c r="BL9" s="139" t="s">
        <v>76</v>
      </c>
      <c r="BM9" s="139" t="s">
        <v>135</v>
      </c>
      <c r="BN9" s="139" t="s">
        <v>93</v>
      </c>
    </row>
    <row r="10" spans="1:115">
      <c r="A10" s="138">
        <v>6</v>
      </c>
      <c r="B10" s="139" t="s">
        <v>67</v>
      </c>
      <c r="C10" s="139">
        <v>74762209</v>
      </c>
      <c r="D10" s="139" t="s">
        <v>136</v>
      </c>
      <c r="E10" s="139" t="s">
        <v>137</v>
      </c>
      <c r="F10" s="139" t="s">
        <v>70</v>
      </c>
      <c r="G10" s="163" t="s">
        <v>105</v>
      </c>
      <c r="H10" s="139" t="s">
        <v>138</v>
      </c>
      <c r="I10" s="139" t="s">
        <v>73</v>
      </c>
      <c r="J10" s="139" t="s">
        <v>74</v>
      </c>
      <c r="K10" s="139" t="s">
        <v>139</v>
      </c>
      <c r="L10" s="139" t="s">
        <v>76</v>
      </c>
      <c r="M10" s="139" t="s">
        <v>77</v>
      </c>
      <c r="N10" s="139" t="s">
        <v>78</v>
      </c>
      <c r="O10" s="139" t="s">
        <v>140</v>
      </c>
      <c r="P10" s="139" t="s">
        <v>80</v>
      </c>
      <c r="Q10" s="139" t="s">
        <v>81</v>
      </c>
      <c r="R10" s="139" t="s">
        <v>82</v>
      </c>
      <c r="S10" s="139" t="s">
        <v>77</v>
      </c>
      <c r="T10" s="139" t="s">
        <v>99</v>
      </c>
      <c r="U10" s="139" t="s">
        <v>141</v>
      </c>
      <c r="V10" s="139" t="s">
        <v>77</v>
      </c>
      <c r="W10" s="139" t="s">
        <v>85</v>
      </c>
      <c r="X10" s="139" t="s">
        <v>142</v>
      </c>
      <c r="Y10" s="139" t="s">
        <v>76</v>
      </c>
      <c r="Z10" s="139" t="s">
        <v>77</v>
      </c>
      <c r="AA10" s="139" t="s">
        <v>87</v>
      </c>
      <c r="AB10" s="139" t="s">
        <v>142</v>
      </c>
      <c r="AC10" s="139" t="s">
        <v>76</v>
      </c>
      <c r="AD10" s="139" t="s">
        <v>76</v>
      </c>
      <c r="AE10" s="139" t="s">
        <v>76</v>
      </c>
      <c r="AF10" s="139" t="s">
        <v>76</v>
      </c>
      <c r="AG10" s="139" t="s">
        <v>77</v>
      </c>
      <c r="AH10" s="139" t="s">
        <v>88</v>
      </c>
      <c r="AI10" s="139" t="s">
        <v>76</v>
      </c>
      <c r="AJ10" s="139" t="s">
        <v>76</v>
      </c>
      <c r="AK10" s="139" t="s">
        <v>77</v>
      </c>
      <c r="AL10" s="139" t="s">
        <v>89</v>
      </c>
      <c r="AM10" s="139" t="s">
        <v>143</v>
      </c>
      <c r="AN10" s="139" t="s">
        <v>76</v>
      </c>
      <c r="AO10" s="139" t="s">
        <v>76</v>
      </c>
      <c r="AP10" s="139" t="s">
        <v>76</v>
      </c>
      <c r="AQ10" s="139" t="s">
        <v>76</v>
      </c>
      <c r="AR10" s="139" t="s">
        <v>76</v>
      </c>
      <c r="AS10" s="139" t="s">
        <v>76</v>
      </c>
      <c r="AT10" s="139" t="s">
        <v>76</v>
      </c>
      <c r="AU10" s="139" t="s">
        <v>76</v>
      </c>
      <c r="AV10" s="139" t="s">
        <v>76</v>
      </c>
      <c r="AW10" s="139" t="s">
        <v>76</v>
      </c>
      <c r="AX10" s="139" t="s">
        <v>76</v>
      </c>
      <c r="AY10" s="139" t="s">
        <v>76</v>
      </c>
      <c r="AZ10" s="139" t="s">
        <v>76</v>
      </c>
      <c r="BA10" s="139" t="s">
        <v>76</v>
      </c>
      <c r="BB10" s="139" t="s">
        <v>76</v>
      </c>
      <c r="BC10" s="139" t="s">
        <v>76</v>
      </c>
      <c r="BD10" s="139" t="s">
        <v>76</v>
      </c>
      <c r="BE10" s="139" t="s">
        <v>76</v>
      </c>
      <c r="BF10" s="139" t="s">
        <v>76</v>
      </c>
      <c r="BG10" s="139" t="s">
        <v>76</v>
      </c>
      <c r="BH10" s="139" t="s">
        <v>76</v>
      </c>
      <c r="BI10" s="139" t="s">
        <v>76</v>
      </c>
      <c r="BJ10" s="139" t="s">
        <v>76</v>
      </c>
      <c r="BK10" s="139" t="s">
        <v>76</v>
      </c>
      <c r="BL10" s="139" t="s">
        <v>76</v>
      </c>
      <c r="BM10" s="139" t="s">
        <v>92</v>
      </c>
      <c r="BN10" s="139" t="s">
        <v>93</v>
      </c>
    </row>
    <row r="11" spans="1:115">
      <c r="A11" s="138">
        <v>7</v>
      </c>
      <c r="B11" s="139" t="s">
        <v>67</v>
      </c>
      <c r="C11" s="139">
        <v>72180497</v>
      </c>
      <c r="D11" s="139" t="s">
        <v>144</v>
      </c>
      <c r="E11" s="139" t="s">
        <v>145</v>
      </c>
      <c r="F11" s="139" t="s">
        <v>70</v>
      </c>
      <c r="G11" s="163" t="s">
        <v>105</v>
      </c>
      <c r="H11" s="139" t="s">
        <v>146</v>
      </c>
      <c r="I11" s="139" t="s">
        <v>73</v>
      </c>
      <c r="J11" s="139" t="s">
        <v>74</v>
      </c>
      <c r="K11" s="139" t="s">
        <v>147</v>
      </c>
      <c r="L11" s="139" t="s">
        <v>76</v>
      </c>
      <c r="M11" s="139" t="s">
        <v>77</v>
      </c>
      <c r="N11" s="139" t="s">
        <v>78</v>
      </c>
      <c r="O11" s="139" t="s">
        <v>148</v>
      </c>
      <c r="P11" s="139" t="s">
        <v>80</v>
      </c>
      <c r="Q11" s="139" t="s">
        <v>81</v>
      </c>
      <c r="R11" s="139" t="s">
        <v>82</v>
      </c>
      <c r="S11" s="139" t="s">
        <v>77</v>
      </c>
      <c r="T11" s="139" t="s">
        <v>99</v>
      </c>
      <c r="U11" s="139" t="s">
        <v>149</v>
      </c>
      <c r="V11" s="139" t="s">
        <v>77</v>
      </c>
      <c r="W11" s="139" t="s">
        <v>85</v>
      </c>
      <c r="X11" s="139" t="s">
        <v>150</v>
      </c>
      <c r="Y11" s="139" t="s">
        <v>76</v>
      </c>
      <c r="Z11" s="139" t="s">
        <v>77</v>
      </c>
      <c r="AA11" s="139" t="s">
        <v>87</v>
      </c>
      <c r="AB11" s="139" t="s">
        <v>150</v>
      </c>
      <c r="AC11" s="139" t="s">
        <v>111</v>
      </c>
      <c r="AD11" s="139" t="s">
        <v>112</v>
      </c>
      <c r="AE11" s="139" t="s">
        <v>151</v>
      </c>
      <c r="AF11" s="139" t="s">
        <v>76</v>
      </c>
      <c r="AG11" s="139" t="s">
        <v>77</v>
      </c>
      <c r="AH11" s="139" t="s">
        <v>88</v>
      </c>
      <c r="AI11" s="139" t="s">
        <v>76</v>
      </c>
      <c r="AJ11" s="139" t="s">
        <v>76</v>
      </c>
      <c r="AK11" s="139" t="s">
        <v>77</v>
      </c>
      <c r="AL11" s="139" t="s">
        <v>89</v>
      </c>
      <c r="AM11" s="139" t="s">
        <v>152</v>
      </c>
      <c r="AN11" s="139" t="s">
        <v>76</v>
      </c>
      <c r="AO11" s="139" t="s">
        <v>76</v>
      </c>
      <c r="AP11" s="139" t="s">
        <v>76</v>
      </c>
      <c r="AQ11" s="139" t="s">
        <v>76</v>
      </c>
      <c r="AR11" s="139" t="s">
        <v>76</v>
      </c>
      <c r="AS11" s="139" t="s">
        <v>91</v>
      </c>
      <c r="AT11" s="139" t="s">
        <v>77</v>
      </c>
      <c r="AU11" s="139" t="s">
        <v>76</v>
      </c>
      <c r="AV11" s="139" t="s">
        <v>76</v>
      </c>
      <c r="AW11" s="139" t="s">
        <v>76</v>
      </c>
      <c r="AX11" s="139" t="s">
        <v>76</v>
      </c>
      <c r="AY11" s="139" t="s">
        <v>76</v>
      </c>
      <c r="AZ11" s="139" t="s">
        <v>76</v>
      </c>
      <c r="BA11" s="139" t="s">
        <v>76</v>
      </c>
      <c r="BB11" s="139" t="s">
        <v>76</v>
      </c>
      <c r="BC11" s="139" t="s">
        <v>76</v>
      </c>
      <c r="BD11" s="139" t="s">
        <v>76</v>
      </c>
      <c r="BE11" s="139" t="s">
        <v>76</v>
      </c>
      <c r="BF11" s="139" t="s">
        <v>76</v>
      </c>
      <c r="BG11" s="139" t="s">
        <v>76</v>
      </c>
      <c r="BH11" s="139" t="s">
        <v>76</v>
      </c>
      <c r="BI11" s="139" t="s">
        <v>76</v>
      </c>
      <c r="BJ11" s="139" t="s">
        <v>76</v>
      </c>
      <c r="BK11" s="139" t="s">
        <v>76</v>
      </c>
      <c r="BL11" s="139" t="s">
        <v>76</v>
      </c>
      <c r="BM11" s="139" t="s">
        <v>135</v>
      </c>
      <c r="BN11" s="139" t="s">
        <v>93</v>
      </c>
    </row>
    <row r="12" spans="1:115">
      <c r="A12" s="138">
        <v>8</v>
      </c>
      <c r="B12" s="139" t="s">
        <v>153</v>
      </c>
      <c r="C12" s="139">
        <v>76791427</v>
      </c>
      <c r="D12" s="139" t="s">
        <v>154</v>
      </c>
      <c r="E12" s="139" t="s">
        <v>155</v>
      </c>
      <c r="F12" s="139" t="s">
        <v>70</v>
      </c>
      <c r="G12" s="155" t="s">
        <v>156</v>
      </c>
      <c r="H12" s="139" t="s">
        <v>157</v>
      </c>
      <c r="I12" s="139" t="s">
        <v>73</v>
      </c>
      <c r="J12" s="139" t="s">
        <v>74</v>
      </c>
      <c r="K12" s="139" t="s">
        <v>158</v>
      </c>
      <c r="L12" s="139" t="s">
        <v>76</v>
      </c>
      <c r="M12" s="139" t="s">
        <v>77</v>
      </c>
      <c r="N12" s="139" t="s">
        <v>78</v>
      </c>
      <c r="O12" s="139" t="s">
        <v>159</v>
      </c>
      <c r="P12" s="139" t="s">
        <v>80</v>
      </c>
      <c r="Q12" s="139" t="s">
        <v>81</v>
      </c>
      <c r="R12" s="139" t="s">
        <v>82</v>
      </c>
      <c r="S12" s="139" t="s">
        <v>77</v>
      </c>
      <c r="T12" s="139" t="s">
        <v>99</v>
      </c>
      <c r="U12" s="139" t="s">
        <v>160</v>
      </c>
      <c r="V12" s="139" t="s">
        <v>77</v>
      </c>
      <c r="W12" s="139" t="s">
        <v>85</v>
      </c>
      <c r="X12" s="139" t="s">
        <v>161</v>
      </c>
      <c r="Y12" s="139" t="s">
        <v>76</v>
      </c>
      <c r="Z12" s="139" t="s">
        <v>77</v>
      </c>
      <c r="AA12" s="139" t="s">
        <v>87</v>
      </c>
      <c r="AB12" s="139" t="s">
        <v>161</v>
      </c>
      <c r="AC12" s="139" t="s">
        <v>76</v>
      </c>
      <c r="AD12" s="139" t="s">
        <v>76</v>
      </c>
      <c r="AE12" s="139" t="s">
        <v>76</v>
      </c>
      <c r="AF12" s="139" t="s">
        <v>76</v>
      </c>
      <c r="AG12" s="139" t="s">
        <v>77</v>
      </c>
      <c r="AH12" s="139" t="s">
        <v>88</v>
      </c>
      <c r="AI12" s="139" t="s">
        <v>76</v>
      </c>
      <c r="AJ12" s="139" t="s">
        <v>76</v>
      </c>
      <c r="AK12" s="139" t="s">
        <v>77</v>
      </c>
      <c r="AL12" s="139" t="s">
        <v>89</v>
      </c>
      <c r="AM12" s="139" t="s">
        <v>162</v>
      </c>
      <c r="AN12" s="139" t="s">
        <v>76</v>
      </c>
      <c r="AO12" s="139" t="s">
        <v>76</v>
      </c>
      <c r="AP12" s="139" t="s">
        <v>76</v>
      </c>
      <c r="AQ12" s="139" t="s">
        <v>76</v>
      </c>
      <c r="AR12" s="139" t="s">
        <v>76</v>
      </c>
      <c r="AS12" s="139" t="s">
        <v>76</v>
      </c>
      <c r="AT12" s="139" t="s">
        <v>76</v>
      </c>
      <c r="AU12" s="139" t="s">
        <v>76</v>
      </c>
      <c r="AV12" s="139" t="s">
        <v>76</v>
      </c>
      <c r="AW12" s="139" t="s">
        <v>76</v>
      </c>
      <c r="AX12" s="139" t="s">
        <v>76</v>
      </c>
      <c r="AY12" s="139" t="s">
        <v>76</v>
      </c>
      <c r="AZ12" s="139" t="s">
        <v>76</v>
      </c>
      <c r="BA12" s="139" t="s">
        <v>76</v>
      </c>
      <c r="BB12" s="139" t="s">
        <v>76</v>
      </c>
      <c r="BC12" s="139" t="s">
        <v>76</v>
      </c>
      <c r="BD12" s="139" t="s">
        <v>76</v>
      </c>
      <c r="BE12" s="139" t="s">
        <v>76</v>
      </c>
      <c r="BF12" s="139" t="s">
        <v>76</v>
      </c>
      <c r="BG12" s="139" t="s">
        <v>76</v>
      </c>
      <c r="BH12" s="139" t="s">
        <v>76</v>
      </c>
      <c r="BI12" s="139" t="s">
        <v>76</v>
      </c>
      <c r="BJ12" s="139" t="s">
        <v>76</v>
      </c>
      <c r="BK12" s="139" t="s">
        <v>76</v>
      </c>
      <c r="BL12" s="139" t="s">
        <v>76</v>
      </c>
      <c r="BM12" s="139" t="s">
        <v>92</v>
      </c>
      <c r="BN12" s="139" t="s">
        <v>93</v>
      </c>
    </row>
    <row r="13" spans="1:115">
      <c r="A13" s="138">
        <v>9</v>
      </c>
      <c r="B13" s="139" t="s">
        <v>163</v>
      </c>
      <c r="C13" s="139">
        <v>76589058</v>
      </c>
      <c r="D13" s="139" t="s">
        <v>164</v>
      </c>
      <c r="E13" s="139" t="s">
        <v>165</v>
      </c>
      <c r="F13" s="139" t="s">
        <v>70</v>
      </c>
      <c r="G13" s="139" t="s">
        <v>166</v>
      </c>
      <c r="H13" s="139" t="s">
        <v>167</v>
      </c>
      <c r="I13" s="139" t="s">
        <v>73</v>
      </c>
      <c r="J13" s="139" t="s">
        <v>74</v>
      </c>
      <c r="K13" s="139" t="s">
        <v>168</v>
      </c>
      <c r="L13" s="139" t="s">
        <v>76</v>
      </c>
      <c r="M13" s="139" t="s">
        <v>77</v>
      </c>
      <c r="N13" s="139" t="s">
        <v>169</v>
      </c>
      <c r="O13" s="139" t="s">
        <v>170</v>
      </c>
      <c r="P13" s="139" t="s">
        <v>80</v>
      </c>
      <c r="Q13" s="139" t="s">
        <v>81</v>
      </c>
      <c r="R13" s="139" t="s">
        <v>82</v>
      </c>
      <c r="S13" s="139" t="s">
        <v>77</v>
      </c>
      <c r="T13" s="139" t="s">
        <v>99</v>
      </c>
      <c r="U13" s="139" t="s">
        <v>171</v>
      </c>
      <c r="V13" s="139" t="s">
        <v>77</v>
      </c>
      <c r="W13" s="139" t="s">
        <v>85</v>
      </c>
      <c r="X13" s="139" t="s">
        <v>172</v>
      </c>
      <c r="Y13" s="139" t="s">
        <v>76</v>
      </c>
      <c r="Z13" s="139" t="s">
        <v>77</v>
      </c>
      <c r="AA13" s="139" t="s">
        <v>87</v>
      </c>
      <c r="AB13" s="139" t="s">
        <v>172</v>
      </c>
      <c r="AC13" s="139" t="s">
        <v>111</v>
      </c>
      <c r="AD13" s="139" t="s">
        <v>112</v>
      </c>
      <c r="AE13" s="139" t="s">
        <v>173</v>
      </c>
      <c r="AF13" s="139" t="s">
        <v>174</v>
      </c>
      <c r="AG13" s="139" t="s">
        <v>77</v>
      </c>
      <c r="AH13" s="139" t="s">
        <v>88</v>
      </c>
      <c r="AI13" s="139" t="s">
        <v>76</v>
      </c>
      <c r="AJ13" s="139" t="s">
        <v>76</v>
      </c>
      <c r="AK13" s="139" t="s">
        <v>77</v>
      </c>
      <c r="AL13" s="139" t="s">
        <v>89</v>
      </c>
      <c r="AM13" s="139" t="s">
        <v>175</v>
      </c>
      <c r="AN13" s="139" t="s">
        <v>76</v>
      </c>
      <c r="AO13" s="139" t="s">
        <v>76</v>
      </c>
      <c r="AP13" s="139" t="s">
        <v>76</v>
      </c>
      <c r="AQ13" s="139" t="s">
        <v>76</v>
      </c>
      <c r="AR13" s="139" t="s">
        <v>76</v>
      </c>
      <c r="AS13" s="139" t="s">
        <v>76</v>
      </c>
      <c r="AT13" s="139" t="s">
        <v>76</v>
      </c>
      <c r="AU13" s="139" t="s">
        <v>76</v>
      </c>
      <c r="AV13" s="139" t="s">
        <v>76</v>
      </c>
      <c r="AW13" s="139" t="s">
        <v>76</v>
      </c>
      <c r="AX13" s="139" t="s">
        <v>76</v>
      </c>
      <c r="AY13" s="139" t="s">
        <v>76</v>
      </c>
      <c r="AZ13" s="139" t="s">
        <v>76</v>
      </c>
      <c r="BA13" s="139" t="s">
        <v>76</v>
      </c>
      <c r="BB13" s="139" t="s">
        <v>76</v>
      </c>
      <c r="BC13" s="139" t="s">
        <v>76</v>
      </c>
      <c r="BD13" s="139" t="s">
        <v>76</v>
      </c>
      <c r="BE13" s="139" t="s">
        <v>76</v>
      </c>
      <c r="BF13" s="139" t="s">
        <v>76</v>
      </c>
      <c r="BG13" s="139" t="s">
        <v>76</v>
      </c>
      <c r="BH13" s="139" t="s">
        <v>76</v>
      </c>
      <c r="BI13" s="139" t="s">
        <v>76</v>
      </c>
      <c r="BJ13" s="139" t="s">
        <v>76</v>
      </c>
      <c r="BK13" s="139" t="s">
        <v>76</v>
      </c>
      <c r="BL13" s="139" t="s">
        <v>76</v>
      </c>
      <c r="BM13" s="139" t="s">
        <v>92</v>
      </c>
      <c r="BN13" s="139" t="s">
        <v>93</v>
      </c>
    </row>
    <row r="14" spans="1:115">
      <c r="A14" s="138">
        <v>10</v>
      </c>
      <c r="B14" s="139" t="s">
        <v>153</v>
      </c>
      <c r="C14" s="139">
        <v>75591310</v>
      </c>
      <c r="D14" s="139" t="s">
        <v>176</v>
      </c>
      <c r="E14" s="139" t="s">
        <v>177</v>
      </c>
      <c r="F14" s="139" t="s">
        <v>70</v>
      </c>
      <c r="G14" s="155" t="s">
        <v>156</v>
      </c>
      <c r="H14" s="139" t="s">
        <v>178</v>
      </c>
      <c r="I14" s="139" t="s">
        <v>73</v>
      </c>
      <c r="J14" s="139" t="s">
        <v>74</v>
      </c>
      <c r="K14" s="139" t="s">
        <v>179</v>
      </c>
      <c r="L14" s="139" t="s">
        <v>76</v>
      </c>
      <c r="M14" s="139" t="s">
        <v>77</v>
      </c>
      <c r="N14" s="139" t="s">
        <v>169</v>
      </c>
      <c r="O14" s="139" t="s">
        <v>180</v>
      </c>
      <c r="P14" s="139" t="s">
        <v>80</v>
      </c>
      <c r="Q14" s="139" t="s">
        <v>81</v>
      </c>
      <c r="R14" s="139" t="s">
        <v>82</v>
      </c>
      <c r="S14" s="139" t="s">
        <v>77</v>
      </c>
      <c r="T14" s="139" t="s">
        <v>99</v>
      </c>
      <c r="U14" s="139" t="s">
        <v>181</v>
      </c>
      <c r="V14" s="139" t="s">
        <v>77</v>
      </c>
      <c r="W14" s="139" t="s">
        <v>85</v>
      </c>
      <c r="X14" s="139" t="s">
        <v>182</v>
      </c>
      <c r="Y14" s="139" t="s">
        <v>76</v>
      </c>
      <c r="Z14" s="139" t="s">
        <v>77</v>
      </c>
      <c r="AA14" s="139" t="s">
        <v>87</v>
      </c>
      <c r="AB14" s="139" t="s">
        <v>182</v>
      </c>
      <c r="AC14" s="139" t="s">
        <v>111</v>
      </c>
      <c r="AD14" s="139" t="s">
        <v>112</v>
      </c>
      <c r="AE14" s="139" t="s">
        <v>183</v>
      </c>
      <c r="AF14" s="139" t="s">
        <v>184</v>
      </c>
      <c r="AG14" s="139" t="s">
        <v>77</v>
      </c>
      <c r="AH14" s="139" t="s">
        <v>88</v>
      </c>
      <c r="AI14" s="139" t="s">
        <v>76</v>
      </c>
      <c r="AJ14" s="139" t="s">
        <v>76</v>
      </c>
      <c r="AK14" s="139" t="s">
        <v>77</v>
      </c>
      <c r="AL14" s="139" t="s">
        <v>89</v>
      </c>
      <c r="AM14" s="139" t="s">
        <v>185</v>
      </c>
      <c r="AN14" s="139" t="s">
        <v>76</v>
      </c>
      <c r="AO14" s="139" t="s">
        <v>76</v>
      </c>
      <c r="AP14" s="139" t="s">
        <v>76</v>
      </c>
      <c r="AQ14" s="139" t="s">
        <v>76</v>
      </c>
      <c r="AR14" s="139" t="s">
        <v>76</v>
      </c>
      <c r="AS14" s="139" t="s">
        <v>76</v>
      </c>
      <c r="AT14" s="139" t="s">
        <v>76</v>
      </c>
      <c r="AU14" s="139" t="s">
        <v>76</v>
      </c>
      <c r="AV14" s="139" t="s">
        <v>76</v>
      </c>
      <c r="AW14" s="139" t="s">
        <v>76</v>
      </c>
      <c r="AX14" s="139" t="s">
        <v>76</v>
      </c>
      <c r="AY14" s="139" t="s">
        <v>76</v>
      </c>
      <c r="AZ14" s="139" t="s">
        <v>76</v>
      </c>
      <c r="BA14" s="139" t="s">
        <v>76</v>
      </c>
      <c r="BB14" s="139" t="s">
        <v>76</v>
      </c>
      <c r="BC14" s="139" t="s">
        <v>76</v>
      </c>
      <c r="BD14" s="139" t="s">
        <v>76</v>
      </c>
      <c r="BE14" s="139" t="s">
        <v>76</v>
      </c>
      <c r="BF14" s="139" t="s">
        <v>76</v>
      </c>
      <c r="BG14" s="139" t="s">
        <v>76</v>
      </c>
      <c r="BH14" s="139" t="s">
        <v>76</v>
      </c>
      <c r="BI14" s="139" t="s">
        <v>76</v>
      </c>
      <c r="BJ14" s="139" t="s">
        <v>76</v>
      </c>
      <c r="BK14" s="139" t="s">
        <v>76</v>
      </c>
      <c r="BL14" s="139" t="s">
        <v>76</v>
      </c>
      <c r="BM14" s="139" t="s">
        <v>116</v>
      </c>
      <c r="BN14" s="139" t="s">
        <v>93</v>
      </c>
    </row>
    <row r="15" spans="1:115">
      <c r="A15" s="138">
        <v>11</v>
      </c>
      <c r="B15" s="139" t="s">
        <v>153</v>
      </c>
      <c r="C15" s="156">
        <v>74964897</v>
      </c>
      <c r="D15" s="139" t="s">
        <v>186</v>
      </c>
      <c r="E15" s="139" t="s">
        <v>187</v>
      </c>
      <c r="F15" s="139" t="s">
        <v>70</v>
      </c>
      <c r="G15" s="155" t="s">
        <v>156</v>
      </c>
      <c r="H15" s="139" t="s">
        <v>167</v>
      </c>
      <c r="I15" s="139" t="s">
        <v>73</v>
      </c>
      <c r="J15" s="139" t="s">
        <v>74</v>
      </c>
      <c r="K15" s="139" t="s">
        <v>188</v>
      </c>
      <c r="L15" s="139" t="s">
        <v>76</v>
      </c>
      <c r="M15" s="139" t="s">
        <v>77</v>
      </c>
      <c r="N15" s="139" t="s">
        <v>169</v>
      </c>
      <c r="O15" s="139" t="s">
        <v>189</v>
      </c>
      <c r="P15" s="139" t="s">
        <v>80</v>
      </c>
      <c r="Q15" s="139" t="s">
        <v>81</v>
      </c>
      <c r="R15" s="139" t="s">
        <v>82</v>
      </c>
      <c r="S15" s="139" t="s">
        <v>77</v>
      </c>
      <c r="T15" s="139" t="s">
        <v>99</v>
      </c>
      <c r="U15" s="139" t="s">
        <v>190</v>
      </c>
      <c r="V15" s="139" t="s">
        <v>77</v>
      </c>
      <c r="W15" s="139" t="s">
        <v>85</v>
      </c>
      <c r="X15" s="139" t="s">
        <v>191</v>
      </c>
      <c r="Y15" s="139" t="s">
        <v>76</v>
      </c>
      <c r="Z15" s="139" t="s">
        <v>77</v>
      </c>
      <c r="AA15" s="139" t="s">
        <v>87</v>
      </c>
      <c r="AB15" s="139" t="s">
        <v>191</v>
      </c>
      <c r="AC15" s="139" t="s">
        <v>111</v>
      </c>
      <c r="AD15" s="139" t="s">
        <v>112</v>
      </c>
      <c r="AE15" s="139" t="s">
        <v>192</v>
      </c>
      <c r="AF15" s="139" t="s">
        <v>193</v>
      </c>
      <c r="AG15" s="139" t="s">
        <v>77</v>
      </c>
      <c r="AH15" s="139" t="s">
        <v>88</v>
      </c>
      <c r="AI15" s="139" t="s">
        <v>76</v>
      </c>
      <c r="AJ15" s="139" t="s">
        <v>76</v>
      </c>
      <c r="AK15" s="139" t="s">
        <v>77</v>
      </c>
      <c r="AL15" s="139" t="s">
        <v>89</v>
      </c>
      <c r="AM15" s="139" t="s">
        <v>194</v>
      </c>
      <c r="AN15" s="139" t="s">
        <v>76</v>
      </c>
      <c r="AO15" s="139" t="s">
        <v>76</v>
      </c>
      <c r="AP15" s="139" t="s">
        <v>76</v>
      </c>
      <c r="AQ15" s="139" t="s">
        <v>76</v>
      </c>
      <c r="AR15" s="139" t="s">
        <v>76</v>
      </c>
      <c r="AS15" s="139" t="s">
        <v>76</v>
      </c>
      <c r="AT15" s="139" t="s">
        <v>76</v>
      </c>
      <c r="AU15" s="139" t="s">
        <v>76</v>
      </c>
      <c r="AV15" s="139" t="s">
        <v>76</v>
      </c>
      <c r="AW15" s="139" t="s">
        <v>76</v>
      </c>
      <c r="AX15" s="139" t="s">
        <v>76</v>
      </c>
      <c r="AY15" s="139" t="s">
        <v>76</v>
      </c>
      <c r="AZ15" s="139" t="s">
        <v>76</v>
      </c>
      <c r="BA15" s="139" t="s">
        <v>76</v>
      </c>
      <c r="BB15" s="139" t="s">
        <v>76</v>
      </c>
      <c r="BC15" s="139" t="s">
        <v>76</v>
      </c>
      <c r="BD15" s="139" t="s">
        <v>76</v>
      </c>
      <c r="BE15" s="139" t="s">
        <v>76</v>
      </c>
      <c r="BF15" s="139" t="s">
        <v>76</v>
      </c>
      <c r="BG15" s="139" t="s">
        <v>76</v>
      </c>
      <c r="BH15" s="139" t="s">
        <v>76</v>
      </c>
      <c r="BI15" s="139" t="s">
        <v>76</v>
      </c>
      <c r="BJ15" s="139" t="s">
        <v>76</v>
      </c>
      <c r="BK15" s="139" t="s">
        <v>76</v>
      </c>
      <c r="BL15" s="139" t="s">
        <v>76</v>
      </c>
      <c r="BM15" s="139" t="s">
        <v>116</v>
      </c>
      <c r="BN15" s="139" t="s">
        <v>93</v>
      </c>
    </row>
    <row r="16" spans="1:115">
      <c r="A16" s="138">
        <v>12</v>
      </c>
      <c r="B16" s="139" t="s">
        <v>163</v>
      </c>
      <c r="C16" s="139">
        <v>47326234</v>
      </c>
      <c r="D16" s="139" t="s">
        <v>195</v>
      </c>
      <c r="E16" s="139" t="s">
        <v>196</v>
      </c>
      <c r="F16" s="139" t="s">
        <v>70</v>
      </c>
      <c r="G16" s="139" t="s">
        <v>166</v>
      </c>
      <c r="H16" s="139" t="s">
        <v>157</v>
      </c>
      <c r="I16" s="139" t="s">
        <v>73</v>
      </c>
      <c r="J16" s="139" t="s">
        <v>74</v>
      </c>
      <c r="K16" s="139" t="s">
        <v>197</v>
      </c>
      <c r="L16" s="139" t="s">
        <v>76</v>
      </c>
      <c r="M16" s="139" t="s">
        <v>77</v>
      </c>
      <c r="N16" s="139" t="s">
        <v>169</v>
      </c>
      <c r="O16" s="139" t="s">
        <v>198</v>
      </c>
      <c r="P16" s="139" t="s">
        <v>80</v>
      </c>
      <c r="Q16" s="139" t="s">
        <v>81</v>
      </c>
      <c r="R16" s="139" t="s">
        <v>82</v>
      </c>
      <c r="S16" s="139" t="s">
        <v>77</v>
      </c>
      <c r="T16" s="139" t="s">
        <v>99</v>
      </c>
      <c r="U16" s="139" t="s">
        <v>199</v>
      </c>
      <c r="V16" s="139" t="s">
        <v>77</v>
      </c>
      <c r="W16" s="139" t="s">
        <v>85</v>
      </c>
      <c r="X16" s="139" t="s">
        <v>200</v>
      </c>
      <c r="Y16" s="139" t="s">
        <v>76</v>
      </c>
      <c r="Z16" s="139" t="s">
        <v>77</v>
      </c>
      <c r="AA16" s="139" t="s">
        <v>87</v>
      </c>
      <c r="AB16" s="139" t="s">
        <v>200</v>
      </c>
      <c r="AC16" s="139" t="s">
        <v>111</v>
      </c>
      <c r="AD16" s="139" t="s">
        <v>112</v>
      </c>
      <c r="AE16" s="139" t="s">
        <v>201</v>
      </c>
      <c r="AF16" s="139" t="s">
        <v>202</v>
      </c>
      <c r="AG16" s="139" t="s">
        <v>77</v>
      </c>
      <c r="AH16" s="139" t="s">
        <v>88</v>
      </c>
      <c r="AI16" s="139" t="s">
        <v>76</v>
      </c>
      <c r="AJ16" s="139" t="s">
        <v>76</v>
      </c>
      <c r="AK16" s="139" t="s">
        <v>77</v>
      </c>
      <c r="AL16" s="139" t="s">
        <v>89</v>
      </c>
      <c r="AM16" s="139" t="s">
        <v>203</v>
      </c>
      <c r="AN16" s="139" t="s">
        <v>76</v>
      </c>
      <c r="AO16" s="139" t="s">
        <v>76</v>
      </c>
      <c r="AP16" s="139" t="s">
        <v>76</v>
      </c>
      <c r="AQ16" s="139" t="s">
        <v>76</v>
      </c>
      <c r="AR16" s="139" t="s">
        <v>76</v>
      </c>
      <c r="AS16" s="139" t="s">
        <v>76</v>
      </c>
      <c r="AT16" s="139" t="s">
        <v>76</v>
      </c>
      <c r="AU16" s="139" t="s">
        <v>76</v>
      </c>
      <c r="AV16" s="139" t="s">
        <v>76</v>
      </c>
      <c r="AW16" s="139" t="s">
        <v>76</v>
      </c>
      <c r="AX16" s="139" t="s">
        <v>76</v>
      </c>
      <c r="AY16" s="139" t="s">
        <v>76</v>
      </c>
      <c r="AZ16" s="139" t="s">
        <v>76</v>
      </c>
      <c r="BA16" s="139" t="s">
        <v>76</v>
      </c>
      <c r="BB16" s="139" t="s">
        <v>76</v>
      </c>
      <c r="BC16" s="139" t="s">
        <v>76</v>
      </c>
      <c r="BD16" s="139" t="s">
        <v>76</v>
      </c>
      <c r="BE16" s="139" t="s">
        <v>76</v>
      </c>
      <c r="BF16" s="139" t="s">
        <v>76</v>
      </c>
      <c r="BG16" s="139" t="s">
        <v>76</v>
      </c>
      <c r="BH16" s="139" t="s">
        <v>76</v>
      </c>
      <c r="BI16" s="139" t="s">
        <v>76</v>
      </c>
      <c r="BJ16" s="139" t="s">
        <v>76</v>
      </c>
      <c r="BK16" s="139" t="s">
        <v>76</v>
      </c>
      <c r="BL16" s="139" t="s">
        <v>76</v>
      </c>
      <c r="BM16" s="139" t="s">
        <v>92</v>
      </c>
      <c r="BN16" s="139" t="s">
        <v>93</v>
      </c>
    </row>
    <row r="17" spans="1:66">
      <c r="A17" s="138">
        <v>13</v>
      </c>
      <c r="B17" s="139" t="s">
        <v>163</v>
      </c>
      <c r="C17" s="139">
        <v>70114982</v>
      </c>
      <c r="D17" s="139" t="s">
        <v>204</v>
      </c>
      <c r="E17" s="139" t="s">
        <v>205</v>
      </c>
      <c r="F17" s="139" t="s">
        <v>70</v>
      </c>
      <c r="G17" s="139" t="s">
        <v>166</v>
      </c>
      <c r="H17" s="139" t="s">
        <v>206</v>
      </c>
      <c r="I17" s="139" t="s">
        <v>73</v>
      </c>
      <c r="J17" s="139" t="s">
        <v>74</v>
      </c>
      <c r="K17" s="139" t="s">
        <v>207</v>
      </c>
      <c r="L17" s="139" t="s">
        <v>76</v>
      </c>
      <c r="M17" s="139" t="s">
        <v>77</v>
      </c>
      <c r="N17" s="139" t="s">
        <v>169</v>
      </c>
      <c r="O17" s="139" t="s">
        <v>208</v>
      </c>
      <c r="P17" s="139" t="s">
        <v>80</v>
      </c>
      <c r="Q17" s="139" t="s">
        <v>81</v>
      </c>
      <c r="R17" s="139" t="s">
        <v>82</v>
      </c>
      <c r="S17" s="139" t="s">
        <v>77</v>
      </c>
      <c r="T17" s="139" t="s">
        <v>99</v>
      </c>
      <c r="U17" s="139" t="s">
        <v>209</v>
      </c>
      <c r="V17" s="139" t="s">
        <v>77</v>
      </c>
      <c r="W17" s="139" t="s">
        <v>85</v>
      </c>
      <c r="X17" s="139" t="s">
        <v>210</v>
      </c>
      <c r="Y17" s="139" t="s">
        <v>76</v>
      </c>
      <c r="Z17" s="139" t="s">
        <v>77</v>
      </c>
      <c r="AA17" s="139" t="s">
        <v>87</v>
      </c>
      <c r="AB17" s="139" t="s">
        <v>210</v>
      </c>
      <c r="AC17" s="139" t="s">
        <v>111</v>
      </c>
      <c r="AD17" s="139" t="s">
        <v>112</v>
      </c>
      <c r="AE17" s="139" t="s">
        <v>211</v>
      </c>
      <c r="AF17" s="139" t="s">
        <v>212</v>
      </c>
      <c r="AG17" s="139" t="s">
        <v>77</v>
      </c>
      <c r="AH17" s="139" t="s">
        <v>88</v>
      </c>
      <c r="AI17" s="139" t="s">
        <v>76</v>
      </c>
      <c r="AJ17" s="139" t="s">
        <v>76</v>
      </c>
      <c r="AK17" s="139" t="s">
        <v>77</v>
      </c>
      <c r="AL17" s="139" t="s">
        <v>89</v>
      </c>
      <c r="AM17" s="139" t="s">
        <v>213</v>
      </c>
      <c r="AN17" s="139" t="s">
        <v>76</v>
      </c>
      <c r="AO17" s="139" t="s">
        <v>76</v>
      </c>
      <c r="AP17" s="139" t="s">
        <v>76</v>
      </c>
      <c r="AQ17" s="139" t="s">
        <v>76</v>
      </c>
      <c r="AR17" s="139" t="s">
        <v>76</v>
      </c>
      <c r="AS17" s="139" t="s">
        <v>76</v>
      </c>
      <c r="AT17" s="139" t="s">
        <v>76</v>
      </c>
      <c r="AU17" s="139" t="s">
        <v>76</v>
      </c>
      <c r="AV17" s="139" t="s">
        <v>76</v>
      </c>
      <c r="AW17" s="139" t="s">
        <v>76</v>
      </c>
      <c r="AX17" s="139" t="s">
        <v>76</v>
      </c>
      <c r="AY17" s="139" t="s">
        <v>76</v>
      </c>
      <c r="AZ17" s="139" t="s">
        <v>76</v>
      </c>
      <c r="BA17" s="139" t="s">
        <v>76</v>
      </c>
      <c r="BB17" s="139" t="s">
        <v>76</v>
      </c>
      <c r="BC17" s="139" t="s">
        <v>76</v>
      </c>
      <c r="BD17" s="139" t="s">
        <v>76</v>
      </c>
      <c r="BE17" s="139" t="s">
        <v>76</v>
      </c>
      <c r="BF17" s="139" t="s">
        <v>76</v>
      </c>
      <c r="BG17" s="139" t="s">
        <v>76</v>
      </c>
      <c r="BH17" s="139" t="s">
        <v>76</v>
      </c>
      <c r="BI17" s="139" t="s">
        <v>76</v>
      </c>
      <c r="BJ17" s="139" t="s">
        <v>76</v>
      </c>
      <c r="BK17" s="139" t="s">
        <v>76</v>
      </c>
      <c r="BL17" s="139" t="s">
        <v>76</v>
      </c>
      <c r="BM17" s="139" t="s">
        <v>116</v>
      </c>
      <c r="BN17" s="139" t="s">
        <v>93</v>
      </c>
    </row>
    <row r="18" spans="1:66">
      <c r="A18" s="138">
        <v>14</v>
      </c>
      <c r="B18" s="139" t="s">
        <v>163</v>
      </c>
      <c r="C18" s="139">
        <v>73097071</v>
      </c>
      <c r="D18" s="139" t="s">
        <v>214</v>
      </c>
      <c r="E18" s="139" t="s">
        <v>215</v>
      </c>
      <c r="F18" s="139" t="s">
        <v>70</v>
      </c>
      <c r="G18" s="139" t="s">
        <v>166</v>
      </c>
      <c r="H18" s="139" t="s">
        <v>216</v>
      </c>
      <c r="I18" s="139" t="s">
        <v>73</v>
      </c>
      <c r="J18" s="139" t="s">
        <v>74</v>
      </c>
      <c r="K18" s="139" t="s">
        <v>217</v>
      </c>
      <c r="L18" s="139" t="s">
        <v>76</v>
      </c>
      <c r="M18" s="139" t="s">
        <v>77</v>
      </c>
      <c r="N18" s="139" t="s">
        <v>169</v>
      </c>
      <c r="O18" s="139" t="s">
        <v>218</v>
      </c>
      <c r="P18" s="139" t="s">
        <v>80</v>
      </c>
      <c r="Q18" s="139" t="s">
        <v>81</v>
      </c>
      <c r="R18" s="139" t="s">
        <v>82</v>
      </c>
      <c r="S18" s="139" t="s">
        <v>77</v>
      </c>
      <c r="T18" s="139" t="s">
        <v>99</v>
      </c>
      <c r="U18" s="139" t="s">
        <v>219</v>
      </c>
      <c r="V18" s="139" t="s">
        <v>77</v>
      </c>
      <c r="W18" s="139" t="s">
        <v>85</v>
      </c>
      <c r="X18" s="139" t="s">
        <v>220</v>
      </c>
      <c r="Y18" s="139" t="s">
        <v>76</v>
      </c>
      <c r="Z18" s="139" t="s">
        <v>77</v>
      </c>
      <c r="AA18" s="139" t="s">
        <v>87</v>
      </c>
      <c r="AB18" s="139" t="s">
        <v>220</v>
      </c>
      <c r="AC18" s="139" t="s">
        <v>111</v>
      </c>
      <c r="AD18" s="139" t="s">
        <v>112</v>
      </c>
      <c r="AE18" s="139" t="s">
        <v>221</v>
      </c>
      <c r="AF18" s="139" t="s">
        <v>222</v>
      </c>
      <c r="AG18" s="139" t="s">
        <v>77</v>
      </c>
      <c r="AH18" s="139" t="s">
        <v>88</v>
      </c>
      <c r="AI18" s="139" t="s">
        <v>76</v>
      </c>
      <c r="AJ18" s="139" t="s">
        <v>76</v>
      </c>
      <c r="AK18" s="139" t="s">
        <v>77</v>
      </c>
      <c r="AL18" s="139" t="s">
        <v>89</v>
      </c>
      <c r="AM18" s="139" t="s">
        <v>223</v>
      </c>
      <c r="AN18" s="139" t="s">
        <v>76</v>
      </c>
      <c r="AO18" s="139" t="s">
        <v>76</v>
      </c>
      <c r="AP18" s="139" t="s">
        <v>76</v>
      </c>
      <c r="AQ18" s="139" t="s">
        <v>76</v>
      </c>
      <c r="AR18" s="139" t="s">
        <v>76</v>
      </c>
      <c r="AS18" s="139" t="s">
        <v>76</v>
      </c>
      <c r="AT18" s="139" t="s">
        <v>76</v>
      </c>
      <c r="AU18" s="139" t="s">
        <v>76</v>
      </c>
      <c r="AV18" s="139" t="s">
        <v>76</v>
      </c>
      <c r="AW18" s="139" t="s">
        <v>76</v>
      </c>
      <c r="AX18" s="139" t="s">
        <v>76</v>
      </c>
      <c r="AY18" s="139" t="s">
        <v>76</v>
      </c>
      <c r="AZ18" s="139" t="s">
        <v>76</v>
      </c>
      <c r="BA18" s="139" t="s">
        <v>76</v>
      </c>
      <c r="BB18" s="139" t="s">
        <v>76</v>
      </c>
      <c r="BC18" s="139" t="s">
        <v>76</v>
      </c>
      <c r="BD18" s="139" t="s">
        <v>76</v>
      </c>
      <c r="BE18" s="139" t="s">
        <v>76</v>
      </c>
      <c r="BF18" s="139" t="s">
        <v>76</v>
      </c>
      <c r="BG18" s="139" t="s">
        <v>76</v>
      </c>
      <c r="BH18" s="139" t="s">
        <v>76</v>
      </c>
      <c r="BI18" s="139" t="s">
        <v>76</v>
      </c>
      <c r="BJ18" s="139" t="s">
        <v>76</v>
      </c>
      <c r="BK18" s="139" t="s">
        <v>76</v>
      </c>
      <c r="BL18" s="139" t="s">
        <v>76</v>
      </c>
      <c r="BM18" s="139" t="s">
        <v>116</v>
      </c>
      <c r="BN18" s="139" t="s">
        <v>93</v>
      </c>
    </row>
    <row r="19" spans="1:66">
      <c r="A19" s="138">
        <v>15</v>
      </c>
      <c r="B19" s="139" t="s">
        <v>163</v>
      </c>
      <c r="C19" s="139">
        <v>72076174</v>
      </c>
      <c r="D19" s="139" t="s">
        <v>224</v>
      </c>
      <c r="E19" s="139" t="s">
        <v>225</v>
      </c>
      <c r="F19" s="139" t="s">
        <v>70</v>
      </c>
      <c r="G19" s="139" t="s">
        <v>166</v>
      </c>
      <c r="H19" s="139" t="s">
        <v>226</v>
      </c>
      <c r="I19" s="139" t="s">
        <v>73</v>
      </c>
      <c r="J19" s="139" t="s">
        <v>74</v>
      </c>
      <c r="K19" s="139" t="s">
        <v>227</v>
      </c>
      <c r="L19" s="139" t="s">
        <v>76</v>
      </c>
      <c r="M19" s="139" t="s">
        <v>77</v>
      </c>
      <c r="N19" s="139" t="s">
        <v>169</v>
      </c>
      <c r="O19" s="139" t="s">
        <v>228</v>
      </c>
      <c r="P19" s="139" t="s">
        <v>80</v>
      </c>
      <c r="Q19" s="139" t="s">
        <v>81</v>
      </c>
      <c r="R19" s="139" t="s">
        <v>82</v>
      </c>
      <c r="S19" s="139" t="s">
        <v>77</v>
      </c>
      <c r="T19" s="139" t="s">
        <v>99</v>
      </c>
      <c r="U19" s="139" t="s">
        <v>229</v>
      </c>
      <c r="V19" s="139" t="s">
        <v>77</v>
      </c>
      <c r="W19" s="139" t="s">
        <v>85</v>
      </c>
      <c r="X19" s="139" t="s">
        <v>230</v>
      </c>
      <c r="Y19" s="139" t="s">
        <v>76</v>
      </c>
      <c r="Z19" s="139" t="s">
        <v>77</v>
      </c>
      <c r="AA19" s="139" t="s">
        <v>87</v>
      </c>
      <c r="AB19" s="139" t="s">
        <v>230</v>
      </c>
      <c r="AC19" s="139" t="s">
        <v>111</v>
      </c>
      <c r="AD19" s="139" t="s">
        <v>112</v>
      </c>
      <c r="AE19" s="139" t="s">
        <v>231</v>
      </c>
      <c r="AF19" s="139" t="s">
        <v>232</v>
      </c>
      <c r="AG19" s="139" t="s">
        <v>77</v>
      </c>
      <c r="AH19" s="139" t="s">
        <v>88</v>
      </c>
      <c r="AI19" s="139" t="s">
        <v>76</v>
      </c>
      <c r="AJ19" s="139" t="s">
        <v>76</v>
      </c>
      <c r="AK19" s="139" t="s">
        <v>77</v>
      </c>
      <c r="AL19" s="139" t="s">
        <v>89</v>
      </c>
      <c r="AM19" s="139" t="s">
        <v>233</v>
      </c>
      <c r="AN19" s="139" t="s">
        <v>76</v>
      </c>
      <c r="AO19" s="139" t="s">
        <v>76</v>
      </c>
      <c r="AP19" s="139" t="s">
        <v>76</v>
      </c>
      <c r="AQ19" s="139" t="s">
        <v>76</v>
      </c>
      <c r="AR19" s="139" t="s">
        <v>76</v>
      </c>
      <c r="AS19" s="139" t="s">
        <v>76</v>
      </c>
      <c r="AT19" s="139" t="s">
        <v>76</v>
      </c>
      <c r="AU19" s="139" t="s">
        <v>76</v>
      </c>
      <c r="AV19" s="139" t="s">
        <v>76</v>
      </c>
      <c r="AW19" s="139" t="s">
        <v>76</v>
      </c>
      <c r="AX19" s="139" t="s">
        <v>76</v>
      </c>
      <c r="AY19" s="139" t="s">
        <v>76</v>
      </c>
      <c r="AZ19" s="139" t="s">
        <v>76</v>
      </c>
      <c r="BA19" s="139" t="s">
        <v>76</v>
      </c>
      <c r="BB19" s="139" t="s">
        <v>76</v>
      </c>
      <c r="BC19" s="139" t="s">
        <v>76</v>
      </c>
      <c r="BD19" s="139" t="s">
        <v>76</v>
      </c>
      <c r="BE19" s="139" t="s">
        <v>76</v>
      </c>
      <c r="BF19" s="139" t="s">
        <v>76</v>
      </c>
      <c r="BG19" s="139" t="s">
        <v>76</v>
      </c>
      <c r="BH19" s="139" t="s">
        <v>76</v>
      </c>
      <c r="BI19" s="139" t="s">
        <v>76</v>
      </c>
      <c r="BJ19" s="139" t="s">
        <v>76</v>
      </c>
      <c r="BK19" s="139" t="s">
        <v>76</v>
      </c>
      <c r="BL19" s="139" t="s">
        <v>76</v>
      </c>
      <c r="BM19" s="139" t="s">
        <v>92</v>
      </c>
      <c r="BN19" s="139" t="s">
        <v>93</v>
      </c>
    </row>
    <row r="20" spans="1:66">
      <c r="A20" s="138">
        <v>16</v>
      </c>
      <c r="B20" s="139" t="s">
        <v>67</v>
      </c>
      <c r="C20" s="139">
        <v>47905841</v>
      </c>
      <c r="D20" s="139" t="s">
        <v>234</v>
      </c>
      <c r="E20" s="139" t="s">
        <v>235</v>
      </c>
      <c r="F20" s="139" t="s">
        <v>70</v>
      </c>
      <c r="G20" s="139" t="s">
        <v>236</v>
      </c>
      <c r="H20" s="139" t="s">
        <v>237</v>
      </c>
      <c r="I20" s="139" t="s">
        <v>73</v>
      </c>
      <c r="J20" s="139" t="s">
        <v>74</v>
      </c>
      <c r="K20" s="139" t="s">
        <v>238</v>
      </c>
      <c r="L20" s="139" t="s">
        <v>76</v>
      </c>
      <c r="M20" s="139" t="s">
        <v>77</v>
      </c>
      <c r="N20" s="139" t="s">
        <v>169</v>
      </c>
      <c r="O20" s="139" t="s">
        <v>239</v>
      </c>
      <c r="P20" s="139" t="s">
        <v>80</v>
      </c>
      <c r="Q20" s="139" t="s">
        <v>81</v>
      </c>
      <c r="R20" s="139" t="s">
        <v>82</v>
      </c>
      <c r="S20" s="139" t="s">
        <v>77</v>
      </c>
      <c r="T20" s="139" t="s">
        <v>99</v>
      </c>
      <c r="U20" s="139" t="s">
        <v>240</v>
      </c>
      <c r="V20" s="139" t="s">
        <v>77</v>
      </c>
      <c r="W20" s="139" t="s">
        <v>85</v>
      </c>
      <c r="X20" s="139" t="s">
        <v>241</v>
      </c>
      <c r="Y20" s="139" t="s">
        <v>76</v>
      </c>
      <c r="Z20" s="139" t="s">
        <v>77</v>
      </c>
      <c r="AA20" s="139" t="s">
        <v>87</v>
      </c>
      <c r="AB20" s="139" t="s">
        <v>241</v>
      </c>
      <c r="AC20" s="139" t="s">
        <v>76</v>
      </c>
      <c r="AD20" s="139" t="s">
        <v>76</v>
      </c>
      <c r="AE20" s="139" t="s">
        <v>76</v>
      </c>
      <c r="AF20" s="139" t="s">
        <v>76</v>
      </c>
      <c r="AG20" s="139" t="s">
        <v>77</v>
      </c>
      <c r="AH20" s="139" t="s">
        <v>88</v>
      </c>
      <c r="AI20" s="139" t="s">
        <v>76</v>
      </c>
      <c r="AJ20" s="139" t="s">
        <v>76</v>
      </c>
      <c r="AK20" s="139" t="s">
        <v>77</v>
      </c>
      <c r="AL20" s="139" t="s">
        <v>89</v>
      </c>
      <c r="AM20" s="139" t="s">
        <v>242</v>
      </c>
      <c r="AN20" s="139" t="s">
        <v>76</v>
      </c>
      <c r="AO20" s="139" t="s">
        <v>76</v>
      </c>
      <c r="AP20" s="139" t="s">
        <v>76</v>
      </c>
      <c r="AQ20" s="139" t="s">
        <v>76</v>
      </c>
      <c r="AR20" s="139" t="s">
        <v>76</v>
      </c>
      <c r="AS20" s="139" t="s">
        <v>76</v>
      </c>
      <c r="AT20" s="139" t="s">
        <v>76</v>
      </c>
      <c r="AU20" s="139" t="s">
        <v>76</v>
      </c>
      <c r="AV20" s="139" t="s">
        <v>76</v>
      </c>
      <c r="AW20" s="139" t="s">
        <v>76</v>
      </c>
      <c r="AX20" s="139" t="s">
        <v>76</v>
      </c>
      <c r="AY20" s="139" t="s">
        <v>76</v>
      </c>
      <c r="AZ20" s="139" t="s">
        <v>76</v>
      </c>
      <c r="BA20" s="139" t="s">
        <v>76</v>
      </c>
      <c r="BB20" s="139" t="s">
        <v>76</v>
      </c>
      <c r="BC20" s="139" t="s">
        <v>76</v>
      </c>
      <c r="BD20" s="139" t="s">
        <v>76</v>
      </c>
      <c r="BE20" s="139" t="s">
        <v>76</v>
      </c>
      <c r="BF20" s="139" t="s">
        <v>76</v>
      </c>
      <c r="BG20" s="139" t="s">
        <v>76</v>
      </c>
      <c r="BH20" s="139" t="s">
        <v>76</v>
      </c>
      <c r="BI20" s="139" t="s">
        <v>76</v>
      </c>
      <c r="BJ20" s="139" t="s">
        <v>76</v>
      </c>
      <c r="BK20" s="139" t="s">
        <v>76</v>
      </c>
      <c r="BL20" s="139" t="s">
        <v>76</v>
      </c>
      <c r="BM20" s="139" t="s">
        <v>92</v>
      </c>
      <c r="BN20" s="139" t="s">
        <v>93</v>
      </c>
    </row>
    <row r="21" spans="1:66">
      <c r="A21" s="138">
        <v>17</v>
      </c>
      <c r="B21" s="139" t="s">
        <v>67</v>
      </c>
      <c r="C21" s="139">
        <v>43081224</v>
      </c>
      <c r="D21" s="139" t="s">
        <v>243</v>
      </c>
      <c r="E21" s="139" t="s">
        <v>244</v>
      </c>
      <c r="F21" s="139" t="s">
        <v>245</v>
      </c>
      <c r="G21" s="139" t="s">
        <v>246</v>
      </c>
      <c r="H21" s="139" t="s">
        <v>247</v>
      </c>
      <c r="I21" s="139" t="s">
        <v>73</v>
      </c>
      <c r="J21" s="139" t="s">
        <v>248</v>
      </c>
      <c r="K21" s="139" t="s">
        <v>249</v>
      </c>
      <c r="L21" s="139" t="s">
        <v>76</v>
      </c>
      <c r="M21" s="139" t="s">
        <v>77</v>
      </c>
      <c r="N21" s="139" t="s">
        <v>169</v>
      </c>
      <c r="O21" s="139" t="s">
        <v>250</v>
      </c>
      <c r="P21" s="139" t="s">
        <v>80</v>
      </c>
      <c r="Q21" s="139" t="s">
        <v>81</v>
      </c>
      <c r="R21" s="139" t="s">
        <v>82</v>
      </c>
      <c r="S21" s="139" t="s">
        <v>77</v>
      </c>
      <c r="T21" s="139" t="s">
        <v>99</v>
      </c>
      <c r="U21" s="139" t="s">
        <v>251</v>
      </c>
      <c r="V21" s="139" t="s">
        <v>77</v>
      </c>
      <c r="W21" s="139" t="s">
        <v>85</v>
      </c>
      <c r="X21" s="139" t="s">
        <v>252</v>
      </c>
      <c r="Y21" s="139" t="s">
        <v>76</v>
      </c>
      <c r="Z21" s="139" t="s">
        <v>77</v>
      </c>
      <c r="AA21" s="139" t="s">
        <v>87</v>
      </c>
      <c r="AB21" s="139" t="s">
        <v>252</v>
      </c>
      <c r="AC21" s="139" t="s">
        <v>76</v>
      </c>
      <c r="AD21" s="139" t="s">
        <v>76</v>
      </c>
      <c r="AE21" s="139" t="s">
        <v>76</v>
      </c>
      <c r="AF21" s="139" t="s">
        <v>76</v>
      </c>
      <c r="AG21" s="139" t="s">
        <v>77</v>
      </c>
      <c r="AH21" s="139" t="s">
        <v>88</v>
      </c>
      <c r="AI21" s="139" t="s">
        <v>76</v>
      </c>
      <c r="AJ21" s="139" t="s">
        <v>76</v>
      </c>
      <c r="AK21" s="139" t="s">
        <v>77</v>
      </c>
      <c r="AL21" s="139" t="s">
        <v>89</v>
      </c>
      <c r="AM21" s="139" t="s">
        <v>253</v>
      </c>
      <c r="AN21" s="139" t="s">
        <v>76</v>
      </c>
      <c r="AO21" s="139" t="s">
        <v>76</v>
      </c>
      <c r="AP21" s="139" t="s">
        <v>76</v>
      </c>
      <c r="AQ21" s="139" t="s">
        <v>76</v>
      </c>
      <c r="AR21" s="139" t="s">
        <v>76</v>
      </c>
      <c r="AS21" s="139" t="s">
        <v>76</v>
      </c>
      <c r="AT21" s="139" t="s">
        <v>76</v>
      </c>
      <c r="AU21" s="139" t="s">
        <v>76</v>
      </c>
      <c r="AV21" s="139" t="s">
        <v>76</v>
      </c>
      <c r="AW21" s="139" t="s">
        <v>76</v>
      </c>
      <c r="AX21" s="139" t="s">
        <v>76</v>
      </c>
      <c r="AY21" s="139" t="s">
        <v>76</v>
      </c>
      <c r="AZ21" s="139" t="s">
        <v>76</v>
      </c>
      <c r="BA21" s="139" t="s">
        <v>76</v>
      </c>
      <c r="BB21" s="139" t="s">
        <v>76</v>
      </c>
      <c r="BC21" s="139" t="s">
        <v>76</v>
      </c>
      <c r="BD21" s="139" t="s">
        <v>76</v>
      </c>
      <c r="BE21" s="139" t="s">
        <v>76</v>
      </c>
      <c r="BF21" s="139" t="s">
        <v>76</v>
      </c>
      <c r="BG21" s="139" t="s">
        <v>76</v>
      </c>
      <c r="BH21" s="139" t="s">
        <v>76</v>
      </c>
      <c r="BI21" s="139" t="s">
        <v>76</v>
      </c>
      <c r="BJ21" s="139" t="s">
        <v>76</v>
      </c>
      <c r="BK21" s="139" t="s">
        <v>76</v>
      </c>
      <c r="BL21" s="139" t="s">
        <v>76</v>
      </c>
      <c r="BM21" s="139" t="s">
        <v>92</v>
      </c>
      <c r="BN21" s="139" t="s">
        <v>254</v>
      </c>
    </row>
    <row r="22" spans="1:66">
      <c r="A22" s="138">
        <v>18</v>
      </c>
      <c r="B22" s="139" t="s">
        <v>163</v>
      </c>
      <c r="C22" s="139">
        <v>40828272</v>
      </c>
      <c r="D22" s="139" t="s">
        <v>255</v>
      </c>
      <c r="E22" s="139" t="s">
        <v>256</v>
      </c>
      <c r="F22" s="139" t="s">
        <v>257</v>
      </c>
      <c r="G22" s="139" t="s">
        <v>166</v>
      </c>
      <c r="H22" s="139" t="s">
        <v>258</v>
      </c>
      <c r="I22" s="139" t="s">
        <v>73</v>
      </c>
      <c r="J22" s="139" t="s">
        <v>248</v>
      </c>
      <c r="K22" s="139" t="s">
        <v>259</v>
      </c>
      <c r="L22" s="139" t="s">
        <v>76</v>
      </c>
      <c r="M22" s="139" t="s">
        <v>77</v>
      </c>
      <c r="N22" s="139" t="s">
        <v>169</v>
      </c>
      <c r="O22" s="139" t="s">
        <v>260</v>
      </c>
      <c r="P22" s="139" t="s">
        <v>80</v>
      </c>
      <c r="Q22" s="139" t="s">
        <v>81</v>
      </c>
      <c r="R22" s="139" t="s">
        <v>82</v>
      </c>
      <c r="S22" s="139" t="s">
        <v>77</v>
      </c>
      <c r="T22" s="139" t="s">
        <v>99</v>
      </c>
      <c r="U22" s="139" t="s">
        <v>261</v>
      </c>
      <c r="V22" s="139" t="s">
        <v>77</v>
      </c>
      <c r="W22" s="139" t="s">
        <v>85</v>
      </c>
      <c r="X22" s="139" t="s">
        <v>262</v>
      </c>
      <c r="Y22" s="139" t="s">
        <v>76</v>
      </c>
      <c r="Z22" s="139" t="s">
        <v>77</v>
      </c>
      <c r="AA22" s="139" t="s">
        <v>87</v>
      </c>
      <c r="AB22" s="139" t="s">
        <v>262</v>
      </c>
      <c r="AC22" s="139" t="s">
        <v>76</v>
      </c>
      <c r="AD22" s="139" t="s">
        <v>76</v>
      </c>
      <c r="AE22" s="139" t="s">
        <v>76</v>
      </c>
      <c r="AF22" s="139" t="s">
        <v>76</v>
      </c>
      <c r="AG22" s="139" t="s">
        <v>77</v>
      </c>
      <c r="AH22" s="139" t="s">
        <v>88</v>
      </c>
      <c r="AI22" s="139" t="s">
        <v>76</v>
      </c>
      <c r="AJ22" s="139" t="s">
        <v>76</v>
      </c>
      <c r="AK22" s="139" t="s">
        <v>77</v>
      </c>
      <c r="AL22" s="139" t="s">
        <v>89</v>
      </c>
      <c r="AM22" s="139" t="s">
        <v>263</v>
      </c>
      <c r="AN22" s="139" t="s">
        <v>76</v>
      </c>
      <c r="AO22" s="139" t="s">
        <v>76</v>
      </c>
      <c r="AP22" s="139" t="s">
        <v>76</v>
      </c>
      <c r="AQ22" s="139" t="s">
        <v>76</v>
      </c>
      <c r="AR22" s="139" t="s">
        <v>76</v>
      </c>
      <c r="AS22" s="139" t="s">
        <v>76</v>
      </c>
      <c r="AT22" s="139" t="s">
        <v>76</v>
      </c>
      <c r="AU22" s="139" t="s">
        <v>76</v>
      </c>
      <c r="AV22" s="139" t="s">
        <v>76</v>
      </c>
      <c r="AW22" s="139" t="s">
        <v>76</v>
      </c>
      <c r="AX22" s="139" t="s">
        <v>76</v>
      </c>
      <c r="AY22" s="139" t="s">
        <v>76</v>
      </c>
      <c r="AZ22" s="139" t="s">
        <v>76</v>
      </c>
      <c r="BA22" s="139" t="s">
        <v>76</v>
      </c>
      <c r="BB22" s="139" t="s">
        <v>76</v>
      </c>
      <c r="BC22" s="139" t="s">
        <v>76</v>
      </c>
      <c r="BD22" s="139" t="s">
        <v>76</v>
      </c>
      <c r="BE22" s="139" t="s">
        <v>76</v>
      </c>
      <c r="BF22" s="139" t="s">
        <v>76</v>
      </c>
      <c r="BG22" s="139" t="s">
        <v>76</v>
      </c>
      <c r="BH22" s="139" t="s">
        <v>76</v>
      </c>
      <c r="BI22" s="139" t="s">
        <v>76</v>
      </c>
      <c r="BJ22" s="139" t="s">
        <v>76</v>
      </c>
      <c r="BK22" s="139" t="s">
        <v>76</v>
      </c>
      <c r="BL22" s="139" t="s">
        <v>76</v>
      </c>
      <c r="BM22" s="139" t="s">
        <v>92</v>
      </c>
      <c r="BN22" s="139" t="s">
        <v>254</v>
      </c>
    </row>
    <row r="23" spans="1:66">
      <c r="A23" s="157">
        <v>19</v>
      </c>
      <c r="B23" s="139" t="s">
        <v>163</v>
      </c>
      <c r="C23" s="139">
        <v>45142005</v>
      </c>
      <c r="D23" s="139" t="s">
        <v>264</v>
      </c>
      <c r="E23" s="139" t="s">
        <v>265</v>
      </c>
      <c r="F23" s="139" t="s">
        <v>70</v>
      </c>
      <c r="G23" s="139" t="s">
        <v>166</v>
      </c>
      <c r="H23" s="139" t="s">
        <v>266</v>
      </c>
      <c r="I23" s="139" t="s">
        <v>73</v>
      </c>
      <c r="J23" s="139" t="s">
        <v>74</v>
      </c>
      <c r="K23" s="139" t="s">
        <v>267</v>
      </c>
      <c r="L23" s="139" t="s">
        <v>76</v>
      </c>
      <c r="M23" s="139" t="s">
        <v>77</v>
      </c>
      <c r="N23" s="139" t="s">
        <v>169</v>
      </c>
      <c r="O23" s="139" t="s">
        <v>268</v>
      </c>
      <c r="P23" s="139" t="s">
        <v>80</v>
      </c>
      <c r="Q23" s="139" t="s">
        <v>81</v>
      </c>
      <c r="R23" s="139" t="s">
        <v>82</v>
      </c>
      <c r="S23" s="139" t="s">
        <v>77</v>
      </c>
      <c r="T23" s="139" t="s">
        <v>99</v>
      </c>
      <c r="U23" s="159" t="s">
        <v>269</v>
      </c>
      <c r="V23" s="139" t="s">
        <v>77</v>
      </c>
      <c r="W23" s="139" t="s">
        <v>85</v>
      </c>
      <c r="X23" s="139" t="s">
        <v>270</v>
      </c>
      <c r="Y23" s="139" t="s">
        <v>76</v>
      </c>
      <c r="Z23" s="139" t="s">
        <v>77</v>
      </c>
      <c r="AA23" s="139" t="s">
        <v>87</v>
      </c>
      <c r="AB23" s="139" t="s">
        <v>270</v>
      </c>
      <c r="AC23" s="139" t="s">
        <v>111</v>
      </c>
      <c r="AD23" s="139" t="s">
        <v>112</v>
      </c>
      <c r="AE23" s="139" t="s">
        <v>271</v>
      </c>
      <c r="AF23" s="139" t="s">
        <v>272</v>
      </c>
      <c r="AG23" s="139" t="s">
        <v>77</v>
      </c>
      <c r="AH23" s="139" t="s">
        <v>88</v>
      </c>
      <c r="AI23" s="139" t="s">
        <v>76</v>
      </c>
      <c r="AJ23" s="139" t="s">
        <v>76</v>
      </c>
      <c r="AK23" s="139" t="s">
        <v>77</v>
      </c>
      <c r="AL23" s="139" t="s">
        <v>89</v>
      </c>
      <c r="AM23" s="139" t="s">
        <v>273</v>
      </c>
      <c r="AN23" s="139" t="s">
        <v>76</v>
      </c>
      <c r="AO23" s="139" t="s">
        <v>76</v>
      </c>
      <c r="AP23" s="139" t="s">
        <v>76</v>
      </c>
      <c r="AQ23" s="139" t="s">
        <v>76</v>
      </c>
      <c r="AR23" s="139" t="s">
        <v>76</v>
      </c>
      <c r="AS23" s="139" t="s">
        <v>76</v>
      </c>
      <c r="AT23" s="139" t="s">
        <v>76</v>
      </c>
      <c r="AU23" s="139" t="s">
        <v>76</v>
      </c>
      <c r="AV23" s="139" t="s">
        <v>76</v>
      </c>
      <c r="AW23" s="139" t="s">
        <v>76</v>
      </c>
      <c r="AX23" s="139" t="s">
        <v>76</v>
      </c>
      <c r="AY23" s="139" t="s">
        <v>76</v>
      </c>
      <c r="AZ23" s="139" t="s">
        <v>76</v>
      </c>
      <c r="BA23" s="139" t="s">
        <v>76</v>
      </c>
      <c r="BB23" s="139" t="s">
        <v>76</v>
      </c>
      <c r="BC23" s="139" t="s">
        <v>76</v>
      </c>
      <c r="BD23" s="139" t="s">
        <v>76</v>
      </c>
      <c r="BE23" s="139" t="s">
        <v>76</v>
      </c>
      <c r="BF23" s="139" t="s">
        <v>76</v>
      </c>
      <c r="BG23" s="139" t="s">
        <v>76</v>
      </c>
      <c r="BH23" s="139" t="s">
        <v>76</v>
      </c>
      <c r="BI23" s="139" t="s">
        <v>76</v>
      </c>
      <c r="BJ23" s="139" t="s">
        <v>76</v>
      </c>
      <c r="BK23" s="139" t="s">
        <v>76</v>
      </c>
      <c r="BL23" s="139" t="s">
        <v>76</v>
      </c>
      <c r="BM23" s="139" t="s">
        <v>92</v>
      </c>
      <c r="BN23" s="139" t="s">
        <v>93</v>
      </c>
    </row>
    <row r="24" spans="1:66">
      <c r="A24" s="157">
        <v>20</v>
      </c>
      <c r="B24" s="139" t="s">
        <v>67</v>
      </c>
      <c r="C24" s="139">
        <v>71542324</v>
      </c>
      <c r="D24" t="s">
        <v>274</v>
      </c>
      <c r="E24" s="139" t="s">
        <v>275</v>
      </c>
      <c r="F24" s="139" t="s">
        <v>70</v>
      </c>
      <c r="G24" s="139" t="s">
        <v>276</v>
      </c>
      <c r="H24" s="139" t="s">
        <v>277</v>
      </c>
      <c r="I24" s="158" t="s">
        <v>73</v>
      </c>
      <c r="J24" s="159" t="s">
        <v>74</v>
      </c>
      <c r="K24" s="159" t="s">
        <v>278</v>
      </c>
      <c r="L24" s="159" t="s">
        <v>76</v>
      </c>
      <c r="M24" s="159" t="s">
        <v>77</v>
      </c>
      <c r="N24" s="159" t="s">
        <v>169</v>
      </c>
      <c r="O24" s="159" t="s">
        <v>279</v>
      </c>
      <c r="P24" s="159" t="s">
        <v>80</v>
      </c>
      <c r="Q24" s="159" t="s">
        <v>81</v>
      </c>
      <c r="R24" s="159" t="s">
        <v>82</v>
      </c>
      <c r="S24" s="159" t="s">
        <v>77</v>
      </c>
      <c r="T24" s="159" t="s">
        <v>99</v>
      </c>
      <c r="U24" s="159" t="s">
        <v>280</v>
      </c>
      <c r="V24" s="159" t="s">
        <v>77</v>
      </c>
      <c r="W24" s="159" t="s">
        <v>85</v>
      </c>
      <c r="X24" s="159" t="s">
        <v>281</v>
      </c>
      <c r="Y24" s="159" t="s">
        <v>76</v>
      </c>
      <c r="Z24" s="159" t="s">
        <v>77</v>
      </c>
      <c r="AA24" s="159" t="s">
        <v>87</v>
      </c>
      <c r="AB24" s="159" t="s">
        <v>281</v>
      </c>
      <c r="AC24" s="159" t="s">
        <v>111</v>
      </c>
      <c r="AD24" s="139" t="s">
        <v>112</v>
      </c>
      <c r="AE24" s="159" t="s">
        <v>282</v>
      </c>
      <c r="AF24" s="159" t="s">
        <v>283</v>
      </c>
      <c r="AG24" s="159" t="s">
        <v>77</v>
      </c>
      <c r="AH24" s="159" t="s">
        <v>88</v>
      </c>
      <c r="AI24" s="139" t="s">
        <v>76</v>
      </c>
      <c r="AJ24" s="139" t="s">
        <v>76</v>
      </c>
      <c r="AK24" s="159" t="s">
        <v>77</v>
      </c>
      <c r="AL24" s="159" t="s">
        <v>89</v>
      </c>
      <c r="AM24" s="159" t="s">
        <v>284</v>
      </c>
      <c r="AN24" s="159" t="s">
        <v>76</v>
      </c>
      <c r="AO24" s="159" t="s">
        <v>76</v>
      </c>
      <c r="AP24" s="159" t="s">
        <v>76</v>
      </c>
      <c r="AQ24" s="159" t="s">
        <v>76</v>
      </c>
      <c r="AR24" s="159" t="s">
        <v>76</v>
      </c>
      <c r="AS24" s="159" t="s">
        <v>76</v>
      </c>
      <c r="AT24" s="159" t="s">
        <v>76</v>
      </c>
      <c r="AU24" s="159" t="s">
        <v>76</v>
      </c>
      <c r="AV24" s="159" t="s">
        <v>76</v>
      </c>
      <c r="AW24" s="159" t="s">
        <v>76</v>
      </c>
      <c r="AX24" s="159" t="s">
        <v>76</v>
      </c>
      <c r="AY24" s="159" t="s">
        <v>76</v>
      </c>
      <c r="AZ24" s="159" t="s">
        <v>76</v>
      </c>
      <c r="BA24" s="159" t="s">
        <v>76</v>
      </c>
      <c r="BB24" s="159" t="s">
        <v>76</v>
      </c>
      <c r="BC24" s="159" t="s">
        <v>76</v>
      </c>
      <c r="BD24" s="159" t="s">
        <v>76</v>
      </c>
      <c r="BE24" s="159" t="s">
        <v>76</v>
      </c>
      <c r="BF24" s="159" t="s">
        <v>76</v>
      </c>
      <c r="BG24" s="159" t="s">
        <v>76</v>
      </c>
      <c r="BH24" s="159" t="s">
        <v>76</v>
      </c>
      <c r="BI24" s="159" t="s">
        <v>76</v>
      </c>
      <c r="BJ24" s="159" t="s">
        <v>76</v>
      </c>
      <c r="BK24" s="159" t="s">
        <v>76</v>
      </c>
      <c r="BL24" s="159" t="s">
        <v>76</v>
      </c>
      <c r="BM24" s="159" t="s">
        <v>92</v>
      </c>
      <c r="BN24" s="139" t="s">
        <v>93</v>
      </c>
    </row>
    <row r="25" spans="1:66">
      <c r="A25" s="157">
        <v>21</v>
      </c>
      <c r="B25" s="139" t="s">
        <v>163</v>
      </c>
      <c r="C25" s="139">
        <v>74124558</v>
      </c>
      <c r="D25" s="139" t="s">
        <v>285</v>
      </c>
      <c r="E25" s="139" t="s">
        <v>286</v>
      </c>
      <c r="F25" s="139" t="s">
        <v>70</v>
      </c>
      <c r="G25" s="139" t="s">
        <v>166</v>
      </c>
      <c r="H25" s="139" t="s">
        <v>287</v>
      </c>
      <c r="I25" s="158" t="s">
        <v>73</v>
      </c>
      <c r="J25" s="159" t="s">
        <v>74</v>
      </c>
      <c r="K25" s="159" t="s">
        <v>288</v>
      </c>
      <c r="L25" s="159" t="s">
        <v>76</v>
      </c>
      <c r="M25" s="159" t="s">
        <v>77</v>
      </c>
      <c r="N25" s="159" t="s">
        <v>169</v>
      </c>
      <c r="O25" s="159" t="s">
        <v>289</v>
      </c>
      <c r="P25" s="159" t="s">
        <v>80</v>
      </c>
      <c r="Q25" s="159" t="s">
        <v>81</v>
      </c>
      <c r="R25" s="159" t="s">
        <v>82</v>
      </c>
      <c r="S25" s="159" t="s">
        <v>77</v>
      </c>
      <c r="T25" s="159" t="s">
        <v>99</v>
      </c>
      <c r="U25" s="159" t="s">
        <v>290</v>
      </c>
      <c r="V25" s="159" t="s">
        <v>77</v>
      </c>
      <c r="W25" s="159" t="s">
        <v>85</v>
      </c>
      <c r="X25" s="159" t="s">
        <v>291</v>
      </c>
      <c r="Y25" s="159" t="s">
        <v>76</v>
      </c>
      <c r="Z25" s="159" t="s">
        <v>77</v>
      </c>
      <c r="AA25" s="159" t="s">
        <v>87</v>
      </c>
      <c r="AB25" s="159" t="s">
        <v>291</v>
      </c>
      <c r="AC25" s="159" t="s">
        <v>111</v>
      </c>
      <c r="AD25" s="139" t="s">
        <v>112</v>
      </c>
      <c r="AE25" s="159" t="s">
        <v>292</v>
      </c>
      <c r="AF25" s="159" t="s">
        <v>293</v>
      </c>
      <c r="AG25" s="159" t="s">
        <v>77</v>
      </c>
      <c r="AH25" s="159" t="s">
        <v>88</v>
      </c>
      <c r="AI25" s="159" t="s">
        <v>76</v>
      </c>
      <c r="AJ25" s="159" t="s">
        <v>76</v>
      </c>
      <c r="AK25" s="159" t="s">
        <v>77</v>
      </c>
      <c r="AL25" s="159" t="s">
        <v>89</v>
      </c>
      <c r="AM25" s="159" t="s">
        <v>294</v>
      </c>
      <c r="AN25" s="159" t="s">
        <v>76</v>
      </c>
      <c r="AO25" s="159" t="s">
        <v>76</v>
      </c>
      <c r="AP25" s="159" t="s">
        <v>76</v>
      </c>
      <c r="AQ25" s="159" t="s">
        <v>76</v>
      </c>
      <c r="AR25" s="159" t="s">
        <v>76</v>
      </c>
      <c r="AS25" s="159" t="s">
        <v>76</v>
      </c>
      <c r="AT25" s="159" t="s">
        <v>76</v>
      </c>
      <c r="AU25" s="159" t="s">
        <v>76</v>
      </c>
      <c r="AV25" s="159" t="s">
        <v>76</v>
      </c>
      <c r="AW25" s="159" t="s">
        <v>76</v>
      </c>
      <c r="AX25" s="159" t="s">
        <v>76</v>
      </c>
      <c r="AY25" s="159" t="s">
        <v>76</v>
      </c>
      <c r="AZ25" s="159" t="s">
        <v>76</v>
      </c>
      <c r="BA25" s="159" t="s">
        <v>76</v>
      </c>
      <c r="BB25" s="159" t="s">
        <v>76</v>
      </c>
      <c r="BC25" s="159" t="s">
        <v>76</v>
      </c>
      <c r="BD25" s="159" t="s">
        <v>76</v>
      </c>
      <c r="BE25" s="159" t="s">
        <v>76</v>
      </c>
      <c r="BF25" s="159" t="s">
        <v>76</v>
      </c>
      <c r="BG25" s="159" t="s">
        <v>76</v>
      </c>
      <c r="BH25" s="159" t="s">
        <v>76</v>
      </c>
      <c r="BI25" s="159" t="s">
        <v>76</v>
      </c>
      <c r="BJ25" s="159" t="s">
        <v>76</v>
      </c>
      <c r="BK25" s="159" t="s">
        <v>76</v>
      </c>
      <c r="BL25" s="159" t="s">
        <v>76</v>
      </c>
      <c r="BM25" s="159" t="s">
        <v>92</v>
      </c>
      <c r="BN25" s="139" t="s">
        <v>93</v>
      </c>
    </row>
    <row r="26" spans="1:66">
      <c r="A26" s="157">
        <v>22</v>
      </c>
      <c r="B26" s="139" t="s">
        <v>153</v>
      </c>
      <c r="C26" s="139">
        <v>43081209</v>
      </c>
      <c r="D26" s="139" t="s">
        <v>295</v>
      </c>
      <c r="E26" s="139" t="s">
        <v>296</v>
      </c>
      <c r="F26" s="139" t="s">
        <v>70</v>
      </c>
      <c r="G26" s="155" t="s">
        <v>156</v>
      </c>
      <c r="H26" s="139" t="s">
        <v>297</v>
      </c>
      <c r="I26" s="139" t="s">
        <v>73</v>
      </c>
      <c r="J26" s="139" t="s">
        <v>74</v>
      </c>
      <c r="K26" s="139" t="s">
        <v>298</v>
      </c>
      <c r="L26" s="139" t="s">
        <v>76</v>
      </c>
      <c r="M26" s="139" t="s">
        <v>77</v>
      </c>
      <c r="N26" s="139" t="s">
        <v>169</v>
      </c>
      <c r="O26" s="139" t="s">
        <v>299</v>
      </c>
      <c r="P26" s="139" t="s">
        <v>80</v>
      </c>
      <c r="Q26" s="139" t="s">
        <v>81</v>
      </c>
      <c r="R26" s="139" t="s">
        <v>82</v>
      </c>
      <c r="S26" s="139" t="s">
        <v>77</v>
      </c>
      <c r="T26" s="139" t="s">
        <v>99</v>
      </c>
      <c r="U26" s="139" t="s">
        <v>300</v>
      </c>
      <c r="V26" s="139" t="s">
        <v>77</v>
      </c>
      <c r="W26" s="139" t="s">
        <v>85</v>
      </c>
      <c r="X26" s="139" t="s">
        <v>301</v>
      </c>
      <c r="Y26" s="139" t="s">
        <v>76</v>
      </c>
      <c r="Z26" s="139" t="s">
        <v>77</v>
      </c>
      <c r="AA26" s="139" t="s">
        <v>87</v>
      </c>
      <c r="AB26" s="139" t="s">
        <v>301</v>
      </c>
      <c r="AC26" s="159" t="s">
        <v>111</v>
      </c>
      <c r="AD26" s="139" t="s">
        <v>112</v>
      </c>
      <c r="AE26" s="139" t="s">
        <v>302</v>
      </c>
      <c r="AF26" s="139" t="s">
        <v>303</v>
      </c>
      <c r="AG26" s="139" t="s">
        <v>77</v>
      </c>
      <c r="AH26" s="139" t="s">
        <v>88</v>
      </c>
      <c r="AI26" s="139" t="s">
        <v>76</v>
      </c>
      <c r="AJ26" s="139" t="s">
        <v>76</v>
      </c>
      <c r="AK26" s="139" t="s">
        <v>77</v>
      </c>
      <c r="AL26" s="139" t="s">
        <v>89</v>
      </c>
      <c r="AM26" s="139" t="s">
        <v>304</v>
      </c>
      <c r="AN26" s="139" t="s">
        <v>76</v>
      </c>
      <c r="AO26" s="139" t="s">
        <v>76</v>
      </c>
      <c r="AP26" s="139" t="s">
        <v>76</v>
      </c>
      <c r="AQ26" s="139" t="s">
        <v>76</v>
      </c>
      <c r="AR26" s="139" t="s">
        <v>76</v>
      </c>
      <c r="AS26" s="139" t="s">
        <v>76</v>
      </c>
      <c r="AT26" s="139" t="s">
        <v>76</v>
      </c>
      <c r="AU26" s="139" t="s">
        <v>76</v>
      </c>
      <c r="AV26" s="139" t="s">
        <v>76</v>
      </c>
      <c r="AW26" s="139" t="s">
        <v>76</v>
      </c>
      <c r="AX26" s="139" t="s">
        <v>76</v>
      </c>
      <c r="AY26" s="139" t="s">
        <v>76</v>
      </c>
      <c r="AZ26" s="139" t="s">
        <v>76</v>
      </c>
      <c r="BA26" s="139" t="s">
        <v>76</v>
      </c>
      <c r="BB26" s="139" t="s">
        <v>76</v>
      </c>
      <c r="BC26" s="139" t="s">
        <v>76</v>
      </c>
      <c r="BD26" s="139" t="s">
        <v>76</v>
      </c>
      <c r="BE26" s="139" t="s">
        <v>76</v>
      </c>
      <c r="BF26" s="139" t="s">
        <v>76</v>
      </c>
      <c r="BG26" s="139" t="s">
        <v>76</v>
      </c>
      <c r="BH26" s="139" t="s">
        <v>76</v>
      </c>
      <c r="BI26" s="139" t="s">
        <v>76</v>
      </c>
      <c r="BJ26" s="139" t="s">
        <v>76</v>
      </c>
      <c r="BK26" s="139" t="s">
        <v>76</v>
      </c>
      <c r="BL26" s="139" t="s">
        <v>76</v>
      </c>
      <c r="BM26" s="139" t="s">
        <v>92</v>
      </c>
      <c r="BN26" s="139" t="s">
        <v>93</v>
      </c>
    </row>
    <row r="27" spans="1:66">
      <c r="A27" s="157">
        <v>23</v>
      </c>
      <c r="B27" s="139" t="s">
        <v>163</v>
      </c>
      <c r="C27" s="139">
        <v>72906589</v>
      </c>
      <c r="D27" s="139" t="s">
        <v>305</v>
      </c>
      <c r="E27" s="139" t="s">
        <v>306</v>
      </c>
      <c r="F27" s="139" t="s">
        <v>70</v>
      </c>
      <c r="G27" s="139" t="s">
        <v>166</v>
      </c>
      <c r="H27" s="139" t="s">
        <v>307</v>
      </c>
      <c r="I27" s="158" t="s">
        <v>73</v>
      </c>
      <c r="J27" s="159" t="s">
        <v>74</v>
      </c>
      <c r="K27" s="159" t="s">
        <v>308</v>
      </c>
      <c r="L27" s="159" t="s">
        <v>76</v>
      </c>
      <c r="M27" s="159" t="s">
        <v>77</v>
      </c>
      <c r="N27" s="139" t="s">
        <v>169</v>
      </c>
      <c r="O27" s="159" t="s">
        <v>309</v>
      </c>
      <c r="P27" s="139" t="s">
        <v>80</v>
      </c>
      <c r="Q27" s="139" t="s">
        <v>81</v>
      </c>
      <c r="R27" s="139" t="s">
        <v>82</v>
      </c>
      <c r="S27" s="159" t="s">
        <v>77</v>
      </c>
      <c r="T27" s="159" t="s">
        <v>99</v>
      </c>
      <c r="U27" s="159" t="s">
        <v>310</v>
      </c>
      <c r="V27" s="159" t="s">
        <v>77</v>
      </c>
      <c r="W27" s="159" t="s">
        <v>85</v>
      </c>
      <c r="X27" s="159" t="s">
        <v>311</v>
      </c>
      <c r="Y27" s="159" t="s">
        <v>76</v>
      </c>
      <c r="Z27" s="159" t="s">
        <v>77</v>
      </c>
      <c r="AA27" s="139" t="s">
        <v>87</v>
      </c>
      <c r="AB27" s="159" t="s">
        <v>311</v>
      </c>
      <c r="AC27" s="159" t="s">
        <v>111</v>
      </c>
      <c r="AD27" s="139" t="s">
        <v>112</v>
      </c>
      <c r="AE27" s="159" t="s">
        <v>312</v>
      </c>
      <c r="AF27" s="159" t="s">
        <v>313</v>
      </c>
      <c r="AG27" s="159" t="s">
        <v>77</v>
      </c>
      <c r="AH27" s="139" t="s">
        <v>88</v>
      </c>
      <c r="AI27" s="159" t="s">
        <v>76</v>
      </c>
      <c r="AJ27" s="159" t="s">
        <v>76</v>
      </c>
      <c r="AK27" s="159" t="s">
        <v>77</v>
      </c>
      <c r="AL27" s="159" t="s">
        <v>89</v>
      </c>
      <c r="AM27" s="159" t="s">
        <v>314</v>
      </c>
      <c r="AN27" s="159" t="s">
        <v>76</v>
      </c>
      <c r="AO27" s="159" t="s">
        <v>76</v>
      </c>
      <c r="AP27" s="159" t="s">
        <v>76</v>
      </c>
      <c r="AQ27" s="159" t="s">
        <v>76</v>
      </c>
      <c r="AR27" s="159" t="s">
        <v>76</v>
      </c>
      <c r="AS27" s="159" t="s">
        <v>76</v>
      </c>
      <c r="AT27" s="159" t="s">
        <v>76</v>
      </c>
      <c r="AU27" s="159" t="s">
        <v>76</v>
      </c>
      <c r="AV27" s="159" t="s">
        <v>76</v>
      </c>
      <c r="AW27" s="159" t="s">
        <v>76</v>
      </c>
      <c r="AX27" s="159" t="s">
        <v>76</v>
      </c>
      <c r="AY27" s="159" t="s">
        <v>76</v>
      </c>
      <c r="AZ27" s="159" t="s">
        <v>76</v>
      </c>
      <c r="BA27" s="159" t="s">
        <v>76</v>
      </c>
      <c r="BB27" s="159" t="s">
        <v>76</v>
      </c>
      <c r="BC27" s="159" t="s">
        <v>76</v>
      </c>
      <c r="BD27" s="159" t="s">
        <v>76</v>
      </c>
      <c r="BE27" s="159" t="s">
        <v>76</v>
      </c>
      <c r="BF27" s="159" t="s">
        <v>76</v>
      </c>
      <c r="BG27" s="159" t="s">
        <v>76</v>
      </c>
      <c r="BH27" s="159" t="s">
        <v>76</v>
      </c>
      <c r="BI27" s="159" t="s">
        <v>76</v>
      </c>
      <c r="BJ27" s="159" t="s">
        <v>76</v>
      </c>
      <c r="BK27" s="159" t="s">
        <v>76</v>
      </c>
      <c r="BL27" s="159" t="s">
        <v>76</v>
      </c>
      <c r="BM27" s="139" t="s">
        <v>92</v>
      </c>
      <c r="BN27" s="139" t="s">
        <v>93</v>
      </c>
    </row>
    <row r="28" spans="1:66">
      <c r="A28" s="157">
        <v>24</v>
      </c>
      <c r="B28" s="139" t="s">
        <v>67</v>
      </c>
      <c r="C28" s="139">
        <v>73963119</v>
      </c>
      <c r="D28" s="139" t="s">
        <v>315</v>
      </c>
      <c r="E28" s="139" t="s">
        <v>316</v>
      </c>
      <c r="F28" s="139" t="s">
        <v>70</v>
      </c>
      <c r="G28" s="139" t="s">
        <v>276</v>
      </c>
      <c r="H28" s="139" t="s">
        <v>317</v>
      </c>
      <c r="I28" s="139" t="s">
        <v>73</v>
      </c>
      <c r="J28" s="139" t="s">
        <v>74</v>
      </c>
      <c r="K28" s="139" t="s">
        <v>318</v>
      </c>
      <c r="L28" s="139" t="s">
        <v>76</v>
      </c>
      <c r="M28" s="139" t="s">
        <v>77</v>
      </c>
      <c r="N28" s="139" t="s">
        <v>169</v>
      </c>
      <c r="O28" s="139" t="s">
        <v>319</v>
      </c>
      <c r="P28" s="139" t="s">
        <v>80</v>
      </c>
      <c r="Q28" s="139" t="s">
        <v>81</v>
      </c>
      <c r="R28" s="139" t="s">
        <v>82</v>
      </c>
      <c r="S28" s="159" t="s">
        <v>77</v>
      </c>
      <c r="T28" s="159" t="s">
        <v>99</v>
      </c>
      <c r="U28" s="139" t="s">
        <v>320</v>
      </c>
      <c r="V28" s="139" t="s">
        <v>77</v>
      </c>
      <c r="W28" s="159" t="s">
        <v>85</v>
      </c>
      <c r="X28" s="139" t="s">
        <v>321</v>
      </c>
      <c r="Y28" s="159" t="s">
        <v>76</v>
      </c>
      <c r="Z28" s="159" t="s">
        <v>77</v>
      </c>
      <c r="AA28" s="139" t="s">
        <v>87</v>
      </c>
      <c r="AB28" s="139" t="s">
        <v>321</v>
      </c>
      <c r="AC28" s="159" t="s">
        <v>111</v>
      </c>
      <c r="AD28" s="139" t="s">
        <v>112</v>
      </c>
      <c r="AE28" s="139" t="s">
        <v>322</v>
      </c>
      <c r="AF28" s="139" t="s">
        <v>323</v>
      </c>
      <c r="AG28" s="159" t="s">
        <v>77</v>
      </c>
      <c r="AH28" s="139" t="s">
        <v>88</v>
      </c>
      <c r="AI28" s="159" t="s">
        <v>76</v>
      </c>
      <c r="AJ28" s="159" t="s">
        <v>76</v>
      </c>
      <c r="AK28" s="159" t="s">
        <v>77</v>
      </c>
      <c r="AL28" s="159" t="s">
        <v>89</v>
      </c>
      <c r="AM28" s="139" t="s">
        <v>324</v>
      </c>
      <c r="AN28" s="159" t="s">
        <v>76</v>
      </c>
      <c r="AO28" s="159" t="s">
        <v>76</v>
      </c>
      <c r="AP28" s="159" t="s">
        <v>76</v>
      </c>
      <c r="AQ28" s="159" t="s">
        <v>76</v>
      </c>
      <c r="AR28" s="159" t="s">
        <v>76</v>
      </c>
      <c r="AS28" s="159" t="s">
        <v>76</v>
      </c>
      <c r="AT28" s="159" t="s">
        <v>76</v>
      </c>
      <c r="AU28" s="159" t="s">
        <v>76</v>
      </c>
      <c r="AV28" s="159" t="s">
        <v>76</v>
      </c>
      <c r="AW28" s="159" t="s">
        <v>76</v>
      </c>
      <c r="AX28" s="159" t="s">
        <v>76</v>
      </c>
      <c r="AY28" s="159" t="s">
        <v>76</v>
      </c>
      <c r="AZ28" s="159" t="s">
        <v>76</v>
      </c>
      <c r="BA28" s="159" t="s">
        <v>76</v>
      </c>
      <c r="BB28" s="159" t="s">
        <v>76</v>
      </c>
      <c r="BC28" s="159" t="s">
        <v>76</v>
      </c>
      <c r="BD28" s="159" t="s">
        <v>76</v>
      </c>
      <c r="BE28" s="159" t="s">
        <v>76</v>
      </c>
      <c r="BF28" s="159" t="s">
        <v>76</v>
      </c>
      <c r="BG28" s="159" t="s">
        <v>76</v>
      </c>
      <c r="BH28" s="159" t="s">
        <v>76</v>
      </c>
      <c r="BI28" s="159" t="s">
        <v>76</v>
      </c>
      <c r="BJ28" s="159" t="s">
        <v>76</v>
      </c>
      <c r="BK28" s="159" t="s">
        <v>76</v>
      </c>
      <c r="BL28" s="159" t="s">
        <v>76</v>
      </c>
      <c r="BM28" s="139" t="s">
        <v>92</v>
      </c>
      <c r="BN28" s="139" t="s">
        <v>93</v>
      </c>
    </row>
    <row r="29" spans="1:66">
      <c r="A29" s="138">
        <v>25</v>
      </c>
      <c r="B29" s="139" t="s">
        <v>163</v>
      </c>
      <c r="C29" s="139">
        <v>45941654</v>
      </c>
      <c r="D29" s="139" t="s">
        <v>325</v>
      </c>
      <c r="E29" s="139" t="s">
        <v>326</v>
      </c>
      <c r="F29" s="139" t="s">
        <v>70</v>
      </c>
      <c r="G29" s="139" t="s">
        <v>166</v>
      </c>
      <c r="H29" s="139" t="s">
        <v>327</v>
      </c>
      <c r="I29" s="139" t="s">
        <v>73</v>
      </c>
      <c r="J29" s="139" t="s">
        <v>74</v>
      </c>
      <c r="K29" s="139" t="s">
        <v>328</v>
      </c>
      <c r="L29" s="139" t="s">
        <v>76</v>
      </c>
      <c r="M29" s="139" t="s">
        <v>77</v>
      </c>
      <c r="N29" s="139" t="s">
        <v>169</v>
      </c>
      <c r="O29" s="139" t="s">
        <v>329</v>
      </c>
      <c r="P29" s="139" t="s">
        <v>80</v>
      </c>
      <c r="Q29" s="139" t="s">
        <v>81</v>
      </c>
      <c r="R29" s="139" t="s">
        <v>82</v>
      </c>
      <c r="S29" s="158" t="s">
        <v>77</v>
      </c>
      <c r="T29" s="158" t="s">
        <v>99</v>
      </c>
      <c r="U29" s="139" t="s">
        <v>330</v>
      </c>
      <c r="V29" s="139" t="s">
        <v>77</v>
      </c>
      <c r="W29" s="158" t="s">
        <v>85</v>
      </c>
      <c r="X29" s="158" t="s">
        <v>331</v>
      </c>
      <c r="Y29" s="158" t="s">
        <v>76</v>
      </c>
      <c r="Z29" s="158" t="s">
        <v>77</v>
      </c>
      <c r="AA29" s="139" t="s">
        <v>87</v>
      </c>
      <c r="AB29" s="158" t="s">
        <v>331</v>
      </c>
      <c r="AC29" s="158" t="s">
        <v>111</v>
      </c>
      <c r="AD29" s="139" t="s">
        <v>112</v>
      </c>
      <c r="AE29" s="139" t="s">
        <v>332</v>
      </c>
      <c r="AF29" s="139" t="s">
        <v>333</v>
      </c>
      <c r="AG29" s="158" t="s">
        <v>77</v>
      </c>
      <c r="AH29" s="139" t="s">
        <v>88</v>
      </c>
      <c r="AI29" s="158" t="s">
        <v>76</v>
      </c>
      <c r="AJ29" s="158" t="s">
        <v>76</v>
      </c>
      <c r="AK29" s="158" t="s">
        <v>77</v>
      </c>
      <c r="AL29" s="158" t="s">
        <v>89</v>
      </c>
      <c r="AM29" s="158" t="s">
        <v>334</v>
      </c>
      <c r="AN29" s="158" t="s">
        <v>76</v>
      </c>
      <c r="AO29" s="158" t="s">
        <v>76</v>
      </c>
      <c r="AP29" s="158" t="s">
        <v>76</v>
      </c>
      <c r="AQ29" s="158" t="s">
        <v>76</v>
      </c>
      <c r="AR29" s="158" t="s">
        <v>76</v>
      </c>
      <c r="AS29" s="158" t="s">
        <v>76</v>
      </c>
      <c r="AT29" s="158" t="s">
        <v>76</v>
      </c>
      <c r="AU29" s="158" t="s">
        <v>76</v>
      </c>
      <c r="AV29" s="158" t="s">
        <v>76</v>
      </c>
      <c r="AW29" s="158" t="s">
        <v>76</v>
      </c>
      <c r="AX29" s="158" t="s">
        <v>76</v>
      </c>
      <c r="AY29" s="158" t="s">
        <v>76</v>
      </c>
      <c r="AZ29" s="158" t="s">
        <v>76</v>
      </c>
      <c r="BA29" s="158" t="s">
        <v>76</v>
      </c>
      <c r="BB29" s="158" t="s">
        <v>76</v>
      </c>
      <c r="BC29" s="158" t="s">
        <v>76</v>
      </c>
      <c r="BD29" s="158" t="s">
        <v>76</v>
      </c>
      <c r="BE29" s="158" t="s">
        <v>76</v>
      </c>
      <c r="BF29" s="158" t="s">
        <v>76</v>
      </c>
      <c r="BG29" s="158" t="s">
        <v>76</v>
      </c>
      <c r="BH29" s="158" t="s">
        <v>76</v>
      </c>
      <c r="BI29" s="158" t="s">
        <v>76</v>
      </c>
      <c r="BJ29" s="158" t="s">
        <v>76</v>
      </c>
      <c r="BK29" s="158" t="s">
        <v>76</v>
      </c>
      <c r="BL29" s="158" t="s">
        <v>76</v>
      </c>
      <c r="BM29" s="139" t="s">
        <v>116</v>
      </c>
      <c r="BN29" s="139" t="s">
        <v>93</v>
      </c>
    </row>
    <row r="30" spans="1:66">
      <c r="A30" s="138">
        <v>26</v>
      </c>
      <c r="B30" s="139" t="s">
        <v>163</v>
      </c>
      <c r="C30" s="139">
        <v>77298470</v>
      </c>
      <c r="D30" s="139" t="s">
        <v>335</v>
      </c>
      <c r="E30" s="139" t="s">
        <v>336</v>
      </c>
      <c r="F30" s="139" t="s">
        <v>70</v>
      </c>
      <c r="G30" s="139" t="s">
        <v>166</v>
      </c>
      <c r="H30" s="139" t="s">
        <v>337</v>
      </c>
      <c r="I30" s="139" t="s">
        <v>73</v>
      </c>
      <c r="J30" s="139" t="s">
        <v>74</v>
      </c>
      <c r="K30" s="139" t="s">
        <v>338</v>
      </c>
      <c r="L30" s="139" t="s">
        <v>76</v>
      </c>
      <c r="M30" s="139" t="s">
        <v>77</v>
      </c>
      <c r="N30" s="139" t="s">
        <v>169</v>
      </c>
      <c r="O30" s="139" t="s">
        <v>339</v>
      </c>
      <c r="P30" s="139" t="s">
        <v>80</v>
      </c>
      <c r="Q30" s="139" t="s">
        <v>81</v>
      </c>
      <c r="R30" s="139" t="s">
        <v>82</v>
      </c>
      <c r="S30" s="158" t="s">
        <v>77</v>
      </c>
      <c r="T30" s="158" t="s">
        <v>99</v>
      </c>
      <c r="U30" s="160" t="s">
        <v>340</v>
      </c>
      <c r="V30" s="139" t="s">
        <v>77</v>
      </c>
      <c r="W30" s="158" t="s">
        <v>85</v>
      </c>
      <c r="X30" s="158" t="s">
        <v>341</v>
      </c>
      <c r="Y30" s="158" t="s">
        <v>76</v>
      </c>
      <c r="Z30" s="158" t="s">
        <v>77</v>
      </c>
      <c r="AA30" s="139" t="s">
        <v>87</v>
      </c>
      <c r="AB30" s="158" t="s">
        <v>341</v>
      </c>
      <c r="AC30" s="158" t="s">
        <v>111</v>
      </c>
      <c r="AD30" s="139" t="s">
        <v>112</v>
      </c>
      <c r="AE30" s="139" t="s">
        <v>342</v>
      </c>
      <c r="AF30" s="139" t="s">
        <v>343</v>
      </c>
      <c r="AG30" s="158" t="s">
        <v>77</v>
      </c>
      <c r="AH30" s="139" t="s">
        <v>88</v>
      </c>
      <c r="AI30" s="158" t="s">
        <v>76</v>
      </c>
      <c r="AJ30" s="158" t="s">
        <v>76</v>
      </c>
      <c r="AK30" s="158" t="s">
        <v>77</v>
      </c>
      <c r="AL30" s="158" t="s">
        <v>89</v>
      </c>
      <c r="AM30" s="158" t="s">
        <v>344</v>
      </c>
      <c r="AN30" s="158" t="s">
        <v>76</v>
      </c>
      <c r="AO30" s="158" t="s">
        <v>76</v>
      </c>
      <c r="AP30" s="158" t="s">
        <v>76</v>
      </c>
      <c r="AQ30" s="158" t="s">
        <v>76</v>
      </c>
      <c r="AR30" s="158" t="s">
        <v>76</v>
      </c>
      <c r="AS30" s="158" t="s">
        <v>76</v>
      </c>
      <c r="AT30" s="158" t="s">
        <v>76</v>
      </c>
      <c r="AU30" s="158" t="s">
        <v>76</v>
      </c>
      <c r="AV30" s="158" t="s">
        <v>76</v>
      </c>
      <c r="AW30" s="158" t="s">
        <v>76</v>
      </c>
      <c r="AX30" s="158" t="s">
        <v>76</v>
      </c>
      <c r="AY30" s="158" t="s">
        <v>76</v>
      </c>
      <c r="AZ30" s="158" t="s">
        <v>76</v>
      </c>
      <c r="BA30" s="158" t="s">
        <v>76</v>
      </c>
      <c r="BB30" s="158" t="s">
        <v>76</v>
      </c>
      <c r="BC30" s="158" t="s">
        <v>76</v>
      </c>
      <c r="BD30" s="158" t="s">
        <v>76</v>
      </c>
      <c r="BE30" s="158" t="s">
        <v>76</v>
      </c>
      <c r="BF30" s="158" t="s">
        <v>76</v>
      </c>
      <c r="BG30" s="158" t="s">
        <v>76</v>
      </c>
      <c r="BH30" s="158" t="s">
        <v>76</v>
      </c>
      <c r="BI30" s="158" t="s">
        <v>76</v>
      </c>
      <c r="BJ30" s="158" t="s">
        <v>76</v>
      </c>
      <c r="BK30" s="158" t="s">
        <v>76</v>
      </c>
      <c r="BL30" s="158" t="s">
        <v>76</v>
      </c>
      <c r="BM30" s="139" t="s">
        <v>116</v>
      </c>
      <c r="BN30" s="139" t="s">
        <v>93</v>
      </c>
    </row>
    <row r="31" spans="1:66">
      <c r="A31" s="138">
        <v>27</v>
      </c>
      <c r="B31" s="139" t="s">
        <v>163</v>
      </c>
      <c r="C31" s="139">
        <v>10144997</v>
      </c>
      <c r="D31" s="139" t="s">
        <v>345</v>
      </c>
      <c r="E31" s="139" t="s">
        <v>346</v>
      </c>
      <c r="F31" s="139" t="s">
        <v>70</v>
      </c>
      <c r="G31" s="139" t="s">
        <v>166</v>
      </c>
      <c r="H31" s="139" t="s">
        <v>347</v>
      </c>
      <c r="I31" s="158" t="s">
        <v>73</v>
      </c>
      <c r="J31" s="162" t="s">
        <v>74</v>
      </c>
      <c r="K31" s="159" t="s">
        <v>348</v>
      </c>
      <c r="L31" s="159" t="s">
        <v>76</v>
      </c>
      <c r="M31" s="159" t="s">
        <v>77</v>
      </c>
      <c r="N31" s="159" t="s">
        <v>169</v>
      </c>
      <c r="O31" s="159" t="s">
        <v>349</v>
      </c>
      <c r="P31" s="159" t="s">
        <v>80</v>
      </c>
      <c r="Q31" s="159" t="s">
        <v>81</v>
      </c>
      <c r="R31" s="159" t="s">
        <v>82</v>
      </c>
      <c r="S31" s="159" t="s">
        <v>77</v>
      </c>
      <c r="T31" s="159" t="s">
        <v>99</v>
      </c>
      <c r="U31" s="159" t="s">
        <v>350</v>
      </c>
      <c r="V31" s="159" t="s">
        <v>77</v>
      </c>
      <c r="W31" s="159" t="s">
        <v>85</v>
      </c>
      <c r="X31" s="159" t="s">
        <v>351</v>
      </c>
      <c r="Y31" s="159" t="s">
        <v>76</v>
      </c>
      <c r="Z31" s="159" t="s">
        <v>77</v>
      </c>
      <c r="AA31" s="159" t="s">
        <v>87</v>
      </c>
      <c r="AB31" s="159" t="s">
        <v>351</v>
      </c>
      <c r="AC31" s="158" t="s">
        <v>111</v>
      </c>
      <c r="AD31" s="139" t="s">
        <v>112</v>
      </c>
      <c r="AE31" s="159" t="s">
        <v>352</v>
      </c>
      <c r="AF31" s="159" t="s">
        <v>353</v>
      </c>
      <c r="AG31" s="159" t="s">
        <v>77</v>
      </c>
      <c r="AH31" s="159" t="s">
        <v>88</v>
      </c>
      <c r="AI31" s="159" t="s">
        <v>76</v>
      </c>
      <c r="AJ31" s="159" t="s">
        <v>76</v>
      </c>
      <c r="AK31" s="159" t="s">
        <v>77</v>
      </c>
      <c r="AL31" s="159" t="s">
        <v>89</v>
      </c>
      <c r="AM31" s="159" t="s">
        <v>354</v>
      </c>
      <c r="AN31" s="159" t="s">
        <v>76</v>
      </c>
      <c r="AO31" s="159" t="s">
        <v>76</v>
      </c>
      <c r="AP31" s="159" t="s">
        <v>76</v>
      </c>
      <c r="AQ31" s="159" t="s">
        <v>76</v>
      </c>
      <c r="AR31" s="159" t="s">
        <v>76</v>
      </c>
      <c r="AS31" s="159" t="s">
        <v>76</v>
      </c>
      <c r="AT31" s="159" t="s">
        <v>76</v>
      </c>
      <c r="AU31" s="159" t="s">
        <v>76</v>
      </c>
      <c r="AV31" s="159" t="s">
        <v>76</v>
      </c>
      <c r="AW31" s="159" t="s">
        <v>76</v>
      </c>
      <c r="AX31" s="159" t="s">
        <v>76</v>
      </c>
      <c r="AY31" s="159" t="s">
        <v>76</v>
      </c>
      <c r="AZ31" s="159" t="s">
        <v>76</v>
      </c>
      <c r="BA31" s="159" t="s">
        <v>76</v>
      </c>
      <c r="BB31" s="159" t="s">
        <v>76</v>
      </c>
      <c r="BC31" s="159" t="s">
        <v>76</v>
      </c>
      <c r="BD31" s="159" t="s">
        <v>76</v>
      </c>
      <c r="BE31" s="159" t="s">
        <v>76</v>
      </c>
      <c r="BF31" s="159" t="s">
        <v>76</v>
      </c>
      <c r="BG31" s="159" t="s">
        <v>76</v>
      </c>
      <c r="BH31" s="159" t="s">
        <v>76</v>
      </c>
      <c r="BI31" s="159" t="s">
        <v>76</v>
      </c>
      <c r="BJ31" s="159" t="s">
        <v>76</v>
      </c>
      <c r="BK31" s="159" t="s">
        <v>76</v>
      </c>
      <c r="BL31" s="159" t="s">
        <v>76</v>
      </c>
      <c r="BM31" s="139" t="s">
        <v>116</v>
      </c>
      <c r="BN31" s="139" t="s">
        <v>93</v>
      </c>
    </row>
    <row r="32" spans="1:66">
      <c r="A32" s="138">
        <v>28</v>
      </c>
      <c r="B32" s="139" t="s">
        <v>163</v>
      </c>
      <c r="C32" s="139">
        <v>45978642</v>
      </c>
      <c r="D32" s="139" t="s">
        <v>355</v>
      </c>
      <c r="E32" s="139" t="s">
        <v>356</v>
      </c>
      <c r="F32" s="139" t="s">
        <v>70</v>
      </c>
      <c r="G32" s="139" t="s">
        <v>166</v>
      </c>
      <c r="H32" s="139" t="s">
        <v>347</v>
      </c>
      <c r="I32" s="139" t="s">
        <v>73</v>
      </c>
      <c r="J32" s="139" t="s">
        <v>74</v>
      </c>
      <c r="K32" s="139" t="s">
        <v>357</v>
      </c>
      <c r="L32" s="139" t="s">
        <v>76</v>
      </c>
      <c r="M32" s="139" t="s">
        <v>77</v>
      </c>
      <c r="N32" s="159" t="s">
        <v>169</v>
      </c>
      <c r="O32" s="139" t="s">
        <v>358</v>
      </c>
      <c r="P32" s="159" t="s">
        <v>80</v>
      </c>
      <c r="Q32" s="159" t="s">
        <v>81</v>
      </c>
      <c r="R32" s="159" t="s">
        <v>82</v>
      </c>
      <c r="S32" s="139" t="s">
        <v>77</v>
      </c>
      <c r="T32" s="139" t="s">
        <v>359</v>
      </c>
      <c r="U32" s="139" t="s">
        <v>360</v>
      </c>
      <c r="V32" s="139" t="s">
        <v>77</v>
      </c>
      <c r="W32" s="159" t="s">
        <v>85</v>
      </c>
      <c r="X32" s="161" t="s">
        <v>361</v>
      </c>
      <c r="Y32" s="139" t="s">
        <v>76</v>
      </c>
      <c r="Z32" s="139" t="s">
        <v>77</v>
      </c>
      <c r="AA32" s="159" t="s">
        <v>87</v>
      </c>
      <c r="AB32" s="161" t="s">
        <v>361</v>
      </c>
      <c r="AC32" s="158" t="s">
        <v>111</v>
      </c>
      <c r="AD32" s="139" t="s">
        <v>112</v>
      </c>
      <c r="AE32" s="139" t="s">
        <v>362</v>
      </c>
      <c r="AF32" s="139" t="s">
        <v>363</v>
      </c>
      <c r="AG32" s="139" t="s">
        <v>77</v>
      </c>
      <c r="AH32" s="159" t="s">
        <v>88</v>
      </c>
      <c r="AI32" s="159" t="s">
        <v>76</v>
      </c>
      <c r="AJ32" s="159" t="s">
        <v>76</v>
      </c>
      <c r="AK32" s="159" t="s">
        <v>77</v>
      </c>
      <c r="AL32" s="159" t="s">
        <v>89</v>
      </c>
      <c r="AM32" s="139" t="s">
        <v>364</v>
      </c>
      <c r="AN32" s="159" t="s">
        <v>76</v>
      </c>
      <c r="AO32" s="159" t="s">
        <v>76</v>
      </c>
      <c r="AP32" s="159" t="s">
        <v>76</v>
      </c>
      <c r="AQ32" s="159" t="s">
        <v>76</v>
      </c>
      <c r="AR32" s="159" t="s">
        <v>76</v>
      </c>
      <c r="AS32" s="159" t="s">
        <v>76</v>
      </c>
      <c r="AT32" s="159" t="s">
        <v>76</v>
      </c>
      <c r="AU32" s="159" t="s">
        <v>76</v>
      </c>
      <c r="AV32" s="159" t="s">
        <v>76</v>
      </c>
      <c r="AW32" s="159" t="s">
        <v>76</v>
      </c>
      <c r="AX32" s="159" t="s">
        <v>76</v>
      </c>
      <c r="AY32" s="159" t="s">
        <v>76</v>
      </c>
      <c r="AZ32" s="159" t="s">
        <v>76</v>
      </c>
      <c r="BA32" s="159" t="s">
        <v>76</v>
      </c>
      <c r="BB32" s="159" t="s">
        <v>76</v>
      </c>
      <c r="BC32" s="159" t="s">
        <v>76</v>
      </c>
      <c r="BD32" s="159" t="s">
        <v>76</v>
      </c>
      <c r="BE32" s="159" t="s">
        <v>76</v>
      </c>
      <c r="BF32" s="159" t="s">
        <v>76</v>
      </c>
      <c r="BG32" s="159" t="s">
        <v>76</v>
      </c>
      <c r="BH32" s="159" t="s">
        <v>76</v>
      </c>
      <c r="BI32" s="159" t="s">
        <v>76</v>
      </c>
      <c r="BJ32" s="159" t="s">
        <v>76</v>
      </c>
      <c r="BK32" s="159" t="s">
        <v>76</v>
      </c>
      <c r="BL32" s="159" t="s">
        <v>76</v>
      </c>
      <c r="BM32" s="139" t="s">
        <v>92</v>
      </c>
      <c r="BN32" s="139" t="s">
        <v>93</v>
      </c>
    </row>
    <row r="33" spans="1:66">
      <c r="A33" s="138">
        <v>29</v>
      </c>
      <c r="B33" s="139" t="s">
        <v>163</v>
      </c>
      <c r="C33" s="139">
        <v>46487872</v>
      </c>
      <c r="D33" s="139" t="s">
        <v>365</v>
      </c>
      <c r="E33" s="139" t="s">
        <v>366</v>
      </c>
      <c r="F33" s="139" t="s">
        <v>70</v>
      </c>
      <c r="G33" s="139" t="s">
        <v>166</v>
      </c>
      <c r="H33" s="139" t="s">
        <v>367</v>
      </c>
      <c r="I33" s="158" t="s">
        <v>73</v>
      </c>
      <c r="J33" s="162" t="s">
        <v>74</v>
      </c>
      <c r="K33" s="159" t="s">
        <v>368</v>
      </c>
      <c r="L33" s="159" t="s">
        <v>76</v>
      </c>
      <c r="M33" s="159" t="s">
        <v>77</v>
      </c>
      <c r="N33" s="159" t="s">
        <v>169</v>
      </c>
      <c r="O33" s="159" t="s">
        <v>369</v>
      </c>
      <c r="P33" s="159" t="s">
        <v>80</v>
      </c>
      <c r="Q33" s="159" t="s">
        <v>81</v>
      </c>
      <c r="R33" s="159" t="s">
        <v>82</v>
      </c>
      <c r="S33" s="159" t="s">
        <v>77</v>
      </c>
      <c r="T33" s="159" t="s">
        <v>99</v>
      </c>
      <c r="U33" s="159" t="s">
        <v>370</v>
      </c>
      <c r="V33" s="159" t="s">
        <v>77</v>
      </c>
      <c r="W33" s="159" t="s">
        <v>85</v>
      </c>
      <c r="X33" s="159" t="s">
        <v>371</v>
      </c>
      <c r="Y33" s="159" t="s">
        <v>76</v>
      </c>
      <c r="Z33" s="159" t="s">
        <v>77</v>
      </c>
      <c r="AA33" s="159" t="s">
        <v>87</v>
      </c>
      <c r="AB33" s="159" t="s">
        <v>371</v>
      </c>
      <c r="AC33" s="158" t="s">
        <v>111</v>
      </c>
      <c r="AD33" s="139" t="s">
        <v>112</v>
      </c>
      <c r="AE33" s="159" t="s">
        <v>372</v>
      </c>
      <c r="AF33" s="159" t="s">
        <v>373</v>
      </c>
      <c r="AG33" s="159" t="s">
        <v>77</v>
      </c>
      <c r="AH33" s="159" t="s">
        <v>88</v>
      </c>
      <c r="AI33" s="159" t="s">
        <v>76</v>
      </c>
      <c r="AJ33" s="159" t="s">
        <v>76</v>
      </c>
      <c r="AK33" s="159" t="s">
        <v>77</v>
      </c>
      <c r="AL33" s="159" t="s">
        <v>89</v>
      </c>
      <c r="AM33" s="159" t="s">
        <v>374</v>
      </c>
      <c r="AN33" s="159" t="s">
        <v>76</v>
      </c>
      <c r="AO33" s="159" t="s">
        <v>76</v>
      </c>
      <c r="AP33" s="159" t="s">
        <v>76</v>
      </c>
      <c r="AQ33" s="159" t="s">
        <v>76</v>
      </c>
      <c r="AR33" s="159" t="s">
        <v>76</v>
      </c>
      <c r="AS33" s="159" t="s">
        <v>76</v>
      </c>
      <c r="AT33" s="159" t="s">
        <v>76</v>
      </c>
      <c r="AU33" s="159" t="s">
        <v>76</v>
      </c>
      <c r="AV33" s="159" t="s">
        <v>76</v>
      </c>
      <c r="AW33" s="159" t="s">
        <v>76</v>
      </c>
      <c r="AX33" s="159" t="s">
        <v>76</v>
      </c>
      <c r="AY33" s="159" t="s">
        <v>76</v>
      </c>
      <c r="AZ33" s="159" t="s">
        <v>76</v>
      </c>
      <c r="BA33" s="159" t="s">
        <v>76</v>
      </c>
      <c r="BB33" s="159" t="s">
        <v>76</v>
      </c>
      <c r="BC33" s="159" t="s">
        <v>76</v>
      </c>
      <c r="BD33" s="159" t="s">
        <v>76</v>
      </c>
      <c r="BE33" s="159" t="s">
        <v>76</v>
      </c>
      <c r="BF33" s="159" t="s">
        <v>76</v>
      </c>
      <c r="BG33" s="159" t="s">
        <v>76</v>
      </c>
      <c r="BH33" s="159" t="s">
        <v>76</v>
      </c>
      <c r="BI33" s="159" t="s">
        <v>76</v>
      </c>
      <c r="BJ33" s="159" t="s">
        <v>76</v>
      </c>
      <c r="BK33" s="159" t="s">
        <v>76</v>
      </c>
      <c r="BL33" s="159" t="s">
        <v>76</v>
      </c>
      <c r="BM33" s="139" t="s">
        <v>116</v>
      </c>
      <c r="BN33" s="139" t="s">
        <v>93</v>
      </c>
    </row>
    <row r="34" spans="1:66">
      <c r="A34" s="138">
        <v>30</v>
      </c>
      <c r="B34" s="139" t="s">
        <v>163</v>
      </c>
      <c r="C34" s="139">
        <v>71423253</v>
      </c>
      <c r="D34" s="139" t="s">
        <v>375</v>
      </c>
      <c r="E34" s="139" t="s">
        <v>376</v>
      </c>
      <c r="F34" s="139" t="s">
        <v>70</v>
      </c>
      <c r="G34" s="139" t="s">
        <v>166</v>
      </c>
      <c r="H34" s="139" t="s">
        <v>337</v>
      </c>
      <c r="I34" s="139" t="s">
        <v>73</v>
      </c>
      <c r="J34" s="139" t="s">
        <v>74</v>
      </c>
      <c r="K34" s="139" t="s">
        <v>377</v>
      </c>
      <c r="L34" s="139" t="s">
        <v>76</v>
      </c>
      <c r="M34" s="139" t="s">
        <v>77</v>
      </c>
      <c r="N34" s="159" t="s">
        <v>169</v>
      </c>
      <c r="O34" s="139" t="s">
        <v>378</v>
      </c>
      <c r="P34" s="159" t="s">
        <v>80</v>
      </c>
      <c r="Q34" s="159" t="s">
        <v>81</v>
      </c>
      <c r="R34" s="159" t="s">
        <v>82</v>
      </c>
      <c r="S34" s="159" t="s">
        <v>77</v>
      </c>
      <c r="T34" s="159" t="s">
        <v>99</v>
      </c>
      <c r="U34" s="139" t="s">
        <v>379</v>
      </c>
      <c r="V34" s="159" t="s">
        <v>77</v>
      </c>
      <c r="W34" s="159" t="s">
        <v>85</v>
      </c>
      <c r="X34" s="161" t="s">
        <v>380</v>
      </c>
      <c r="Y34" s="159" t="s">
        <v>76</v>
      </c>
      <c r="Z34" s="159" t="s">
        <v>77</v>
      </c>
      <c r="AA34" s="159" t="s">
        <v>87</v>
      </c>
      <c r="AB34" s="161" t="s">
        <v>380</v>
      </c>
      <c r="AC34" s="158" t="s">
        <v>111</v>
      </c>
      <c r="AD34" s="139" t="s">
        <v>112</v>
      </c>
      <c r="AE34" s="139" t="s">
        <v>381</v>
      </c>
      <c r="AF34" s="139" t="s">
        <v>382</v>
      </c>
      <c r="AG34" s="159" t="s">
        <v>77</v>
      </c>
      <c r="AH34" s="159" t="s">
        <v>88</v>
      </c>
      <c r="AI34" s="159" t="s">
        <v>76</v>
      </c>
      <c r="AJ34" s="159" t="s">
        <v>76</v>
      </c>
      <c r="AK34" s="159" t="s">
        <v>77</v>
      </c>
      <c r="AL34" s="159" t="s">
        <v>89</v>
      </c>
      <c r="AM34" s="139" t="s">
        <v>383</v>
      </c>
      <c r="AN34" s="159" t="s">
        <v>76</v>
      </c>
      <c r="AO34" s="159" t="s">
        <v>76</v>
      </c>
      <c r="AP34" s="159" t="s">
        <v>76</v>
      </c>
      <c r="AQ34" s="159" t="s">
        <v>76</v>
      </c>
      <c r="AR34" s="159" t="s">
        <v>76</v>
      </c>
      <c r="AS34" s="159" t="s">
        <v>76</v>
      </c>
      <c r="AT34" s="159" t="s">
        <v>76</v>
      </c>
      <c r="AU34" s="159" t="s">
        <v>76</v>
      </c>
      <c r="AV34" s="159" t="s">
        <v>76</v>
      </c>
      <c r="AW34" s="159" t="s">
        <v>76</v>
      </c>
      <c r="AX34" s="159" t="s">
        <v>76</v>
      </c>
      <c r="AY34" s="159" t="s">
        <v>76</v>
      </c>
      <c r="AZ34" s="159" t="s">
        <v>76</v>
      </c>
      <c r="BA34" s="159" t="s">
        <v>76</v>
      </c>
      <c r="BB34" s="159" t="s">
        <v>76</v>
      </c>
      <c r="BC34" s="159" t="s">
        <v>76</v>
      </c>
      <c r="BD34" s="159" t="s">
        <v>76</v>
      </c>
      <c r="BE34" s="159" t="s">
        <v>76</v>
      </c>
      <c r="BF34" s="159" t="s">
        <v>76</v>
      </c>
      <c r="BG34" s="159" t="s">
        <v>76</v>
      </c>
      <c r="BH34" s="159" t="s">
        <v>76</v>
      </c>
      <c r="BI34" s="159" t="s">
        <v>76</v>
      </c>
      <c r="BJ34" s="159" t="s">
        <v>76</v>
      </c>
      <c r="BK34" s="159" t="s">
        <v>76</v>
      </c>
      <c r="BL34" s="159" t="s">
        <v>76</v>
      </c>
      <c r="BM34" s="139" t="s">
        <v>92</v>
      </c>
      <c r="BN34" s="139" t="s">
        <v>93</v>
      </c>
    </row>
    <row r="35" spans="1:66">
      <c r="A35" s="138">
        <v>31</v>
      </c>
      <c r="B35" s="139" t="s">
        <v>163</v>
      </c>
      <c r="C35" s="139">
        <v>73934206</v>
      </c>
      <c r="D35" s="139" t="s">
        <v>384</v>
      </c>
      <c r="E35" s="139" t="s">
        <v>385</v>
      </c>
      <c r="F35" s="139" t="s">
        <v>70</v>
      </c>
      <c r="G35" s="139" t="s">
        <v>166</v>
      </c>
      <c r="H35" s="139" t="s">
        <v>386</v>
      </c>
      <c r="I35" s="139" t="s">
        <v>73</v>
      </c>
      <c r="J35" s="139" t="s">
        <v>74</v>
      </c>
      <c r="K35" s="139" t="s">
        <v>387</v>
      </c>
      <c r="L35" s="139" t="s">
        <v>76</v>
      </c>
      <c r="M35" s="139" t="s">
        <v>77</v>
      </c>
      <c r="N35" s="159" t="s">
        <v>169</v>
      </c>
      <c r="O35" s="139" t="s">
        <v>388</v>
      </c>
      <c r="P35" s="159" t="s">
        <v>80</v>
      </c>
      <c r="Q35" s="159" t="s">
        <v>81</v>
      </c>
      <c r="R35" s="159" t="s">
        <v>82</v>
      </c>
      <c r="S35" s="159" t="s">
        <v>77</v>
      </c>
      <c r="T35" s="159" t="s">
        <v>99</v>
      </c>
      <c r="U35" s="139" t="s">
        <v>389</v>
      </c>
      <c r="V35" s="159" t="s">
        <v>77</v>
      </c>
      <c r="W35" s="159" t="s">
        <v>85</v>
      </c>
      <c r="X35" s="139" t="s">
        <v>390</v>
      </c>
      <c r="Y35" s="159" t="s">
        <v>76</v>
      </c>
      <c r="Z35" s="159" t="s">
        <v>77</v>
      </c>
      <c r="AA35" s="159" t="s">
        <v>87</v>
      </c>
      <c r="AB35" s="139" t="s">
        <v>390</v>
      </c>
      <c r="AC35" s="158" t="s">
        <v>111</v>
      </c>
      <c r="AD35" s="139" t="s">
        <v>112</v>
      </c>
      <c r="AE35" s="139" t="s">
        <v>391</v>
      </c>
      <c r="AF35" s="139" t="s">
        <v>392</v>
      </c>
      <c r="AG35" s="159" t="s">
        <v>77</v>
      </c>
      <c r="AH35" s="159" t="s">
        <v>88</v>
      </c>
      <c r="AI35" s="159" t="s">
        <v>76</v>
      </c>
      <c r="AJ35" s="159" t="s">
        <v>76</v>
      </c>
      <c r="AK35" s="159" t="s">
        <v>77</v>
      </c>
      <c r="AL35" s="159" t="s">
        <v>89</v>
      </c>
      <c r="AM35" s="139" t="s">
        <v>393</v>
      </c>
      <c r="AN35" s="159" t="s">
        <v>76</v>
      </c>
      <c r="AO35" s="159" t="s">
        <v>76</v>
      </c>
      <c r="AP35" s="159" t="s">
        <v>76</v>
      </c>
      <c r="AQ35" s="159" t="s">
        <v>76</v>
      </c>
      <c r="AR35" s="159" t="s">
        <v>76</v>
      </c>
      <c r="AS35" s="159" t="s">
        <v>76</v>
      </c>
      <c r="AT35" s="159" t="s">
        <v>76</v>
      </c>
      <c r="AU35" s="159" t="s">
        <v>76</v>
      </c>
      <c r="AV35" s="159" t="s">
        <v>76</v>
      </c>
      <c r="AW35" s="159" t="s">
        <v>76</v>
      </c>
      <c r="AX35" s="159" t="s">
        <v>76</v>
      </c>
      <c r="AY35" s="159" t="s">
        <v>76</v>
      </c>
      <c r="AZ35" s="159" t="s">
        <v>76</v>
      </c>
      <c r="BA35" s="159" t="s">
        <v>76</v>
      </c>
      <c r="BB35" s="159" t="s">
        <v>76</v>
      </c>
      <c r="BC35" s="159" t="s">
        <v>76</v>
      </c>
      <c r="BD35" s="159" t="s">
        <v>76</v>
      </c>
      <c r="BE35" s="159" t="s">
        <v>76</v>
      </c>
      <c r="BF35" s="159" t="s">
        <v>76</v>
      </c>
      <c r="BG35" s="159" t="s">
        <v>76</v>
      </c>
      <c r="BH35" s="159" t="s">
        <v>76</v>
      </c>
      <c r="BI35" s="159" t="s">
        <v>76</v>
      </c>
      <c r="BJ35" s="159" t="s">
        <v>76</v>
      </c>
      <c r="BK35" s="159" t="s">
        <v>76</v>
      </c>
      <c r="BL35" s="159" t="s">
        <v>76</v>
      </c>
      <c r="BM35" s="139" t="s">
        <v>92</v>
      </c>
      <c r="BN35" s="139" t="s">
        <v>93</v>
      </c>
    </row>
    <row r="36" spans="1:66">
      <c r="A36" s="138">
        <v>32</v>
      </c>
      <c r="B36" s="139" t="s">
        <v>67</v>
      </c>
      <c r="C36" s="139">
        <v>44761525</v>
      </c>
      <c r="D36" s="139" t="s">
        <v>394</v>
      </c>
      <c r="E36" s="139" t="s">
        <v>395</v>
      </c>
      <c r="F36" s="139" t="s">
        <v>70</v>
      </c>
      <c r="G36" s="139" t="s">
        <v>71</v>
      </c>
      <c r="H36" s="139" t="s">
        <v>396</v>
      </c>
      <c r="I36" s="158" t="s">
        <v>73</v>
      </c>
      <c r="J36" s="158" t="s">
        <v>74</v>
      </c>
      <c r="K36" s="158" t="s">
        <v>397</v>
      </c>
      <c r="L36" s="158" t="s">
        <v>76</v>
      </c>
      <c r="M36" s="158" t="s">
        <v>77</v>
      </c>
      <c r="N36" s="158" t="s">
        <v>169</v>
      </c>
      <c r="O36" s="158" t="s">
        <v>398</v>
      </c>
      <c r="P36" s="158" t="s">
        <v>80</v>
      </c>
      <c r="Q36" s="158" t="s">
        <v>81</v>
      </c>
      <c r="R36" s="158" t="s">
        <v>82</v>
      </c>
      <c r="S36" s="158" t="s">
        <v>77</v>
      </c>
      <c r="T36" s="158" t="s">
        <v>99</v>
      </c>
      <c r="U36" s="158" t="s">
        <v>399</v>
      </c>
      <c r="V36" s="158" t="s">
        <v>77</v>
      </c>
      <c r="W36" s="158" t="s">
        <v>85</v>
      </c>
      <c r="X36" s="158" t="s">
        <v>400</v>
      </c>
      <c r="Y36" s="158" t="s">
        <v>76</v>
      </c>
      <c r="Z36" s="158" t="s">
        <v>77</v>
      </c>
      <c r="AA36" s="158" t="s">
        <v>87</v>
      </c>
      <c r="AB36" s="158" t="s">
        <v>400</v>
      </c>
      <c r="AC36" s="158" t="s">
        <v>111</v>
      </c>
      <c r="AD36" s="139" t="s">
        <v>112</v>
      </c>
      <c r="AE36" s="158" t="s">
        <v>401</v>
      </c>
      <c r="AF36" s="158" t="s">
        <v>402</v>
      </c>
      <c r="AG36" s="158" t="s">
        <v>77</v>
      </c>
      <c r="AH36" s="158" t="s">
        <v>88</v>
      </c>
      <c r="AI36" s="158" t="s">
        <v>76</v>
      </c>
      <c r="AJ36" s="158" t="s">
        <v>76</v>
      </c>
      <c r="AK36" s="158" t="s">
        <v>77</v>
      </c>
      <c r="AL36" s="158" t="s">
        <v>89</v>
      </c>
      <c r="AM36" s="158" t="s">
        <v>403</v>
      </c>
      <c r="AN36" s="158" t="s">
        <v>76</v>
      </c>
      <c r="AO36" s="158" t="s">
        <v>76</v>
      </c>
      <c r="AP36" s="158" t="s">
        <v>76</v>
      </c>
      <c r="AQ36" s="158" t="s">
        <v>76</v>
      </c>
      <c r="AR36" s="158" t="s">
        <v>76</v>
      </c>
      <c r="AS36" s="158" t="s">
        <v>76</v>
      </c>
      <c r="AT36" s="158" t="s">
        <v>76</v>
      </c>
      <c r="AU36" s="158" t="s">
        <v>76</v>
      </c>
      <c r="AV36" s="158" t="s">
        <v>76</v>
      </c>
      <c r="AW36" s="158" t="s">
        <v>76</v>
      </c>
      <c r="AX36" s="158" t="s">
        <v>76</v>
      </c>
      <c r="AY36" s="158" t="s">
        <v>76</v>
      </c>
      <c r="AZ36" s="158" t="s">
        <v>76</v>
      </c>
      <c r="BA36" s="158" t="s">
        <v>76</v>
      </c>
      <c r="BB36" s="158" t="s">
        <v>76</v>
      </c>
      <c r="BC36" s="158" t="s">
        <v>76</v>
      </c>
      <c r="BD36" s="158" t="s">
        <v>76</v>
      </c>
      <c r="BE36" s="158" t="s">
        <v>76</v>
      </c>
      <c r="BF36" s="158" t="s">
        <v>76</v>
      </c>
      <c r="BG36" s="158" t="s">
        <v>76</v>
      </c>
      <c r="BH36" s="158" t="s">
        <v>76</v>
      </c>
      <c r="BI36" s="158" t="s">
        <v>76</v>
      </c>
      <c r="BJ36" s="158" t="s">
        <v>76</v>
      </c>
      <c r="BK36" s="158" t="s">
        <v>76</v>
      </c>
      <c r="BL36" s="158" t="s">
        <v>76</v>
      </c>
      <c r="BM36" s="158" t="s">
        <v>92</v>
      </c>
      <c r="BN36" s="139" t="s">
        <v>93</v>
      </c>
    </row>
    <row r="37" spans="1:66">
      <c r="A37" s="138">
        <v>33</v>
      </c>
      <c r="B37" s="139" t="s">
        <v>67</v>
      </c>
      <c r="C37" s="139">
        <v>42833953</v>
      </c>
      <c r="D37" s="139" t="s">
        <v>404</v>
      </c>
      <c r="E37" s="139" t="s">
        <v>405</v>
      </c>
      <c r="F37" s="139" t="s">
        <v>70</v>
      </c>
      <c r="G37" s="139" t="s">
        <v>71</v>
      </c>
      <c r="H37" s="139" t="s">
        <v>406</v>
      </c>
      <c r="I37" s="158" t="s">
        <v>73</v>
      </c>
      <c r="J37" s="158" t="s">
        <v>74</v>
      </c>
      <c r="K37" s="158" t="s">
        <v>407</v>
      </c>
      <c r="L37" s="158" t="s">
        <v>76</v>
      </c>
      <c r="M37" s="158" t="s">
        <v>77</v>
      </c>
      <c r="N37" s="158" t="s">
        <v>169</v>
      </c>
      <c r="O37" s="158" t="s">
        <v>408</v>
      </c>
      <c r="P37" s="158" t="s">
        <v>80</v>
      </c>
      <c r="Q37" s="158" t="s">
        <v>81</v>
      </c>
      <c r="R37" s="158" t="s">
        <v>82</v>
      </c>
      <c r="S37" s="158" t="s">
        <v>77</v>
      </c>
      <c r="T37" s="158" t="s">
        <v>99</v>
      </c>
      <c r="U37" s="158" t="s">
        <v>409</v>
      </c>
      <c r="V37" s="158" t="s">
        <v>77</v>
      </c>
      <c r="W37" s="158" t="s">
        <v>85</v>
      </c>
      <c r="X37" s="158" t="s">
        <v>410</v>
      </c>
      <c r="Y37" s="158" t="s">
        <v>76</v>
      </c>
      <c r="Z37" s="158" t="s">
        <v>77</v>
      </c>
      <c r="AA37" s="158" t="s">
        <v>87</v>
      </c>
      <c r="AB37" s="158" t="s">
        <v>410</v>
      </c>
      <c r="AC37" s="158" t="s">
        <v>111</v>
      </c>
      <c r="AD37" s="139" t="s">
        <v>112</v>
      </c>
      <c r="AE37" s="158" t="s">
        <v>411</v>
      </c>
      <c r="AF37" s="158" t="s">
        <v>412</v>
      </c>
      <c r="AG37" s="158" t="s">
        <v>77</v>
      </c>
      <c r="AH37" s="158" t="s">
        <v>88</v>
      </c>
      <c r="AI37" s="158" t="s">
        <v>76</v>
      </c>
      <c r="AJ37" s="158" t="s">
        <v>76</v>
      </c>
      <c r="AK37" s="158" t="s">
        <v>77</v>
      </c>
      <c r="AL37" s="158" t="s">
        <v>89</v>
      </c>
      <c r="AM37" s="158" t="s">
        <v>413</v>
      </c>
      <c r="AN37" s="158" t="s">
        <v>76</v>
      </c>
      <c r="AO37" s="158" t="s">
        <v>76</v>
      </c>
      <c r="AP37" s="158" t="s">
        <v>76</v>
      </c>
      <c r="AQ37" s="158" t="s">
        <v>76</v>
      </c>
      <c r="AR37" s="158" t="s">
        <v>76</v>
      </c>
      <c r="AS37" s="158" t="s">
        <v>76</v>
      </c>
      <c r="AT37" s="158" t="s">
        <v>76</v>
      </c>
      <c r="AU37" s="158" t="s">
        <v>76</v>
      </c>
      <c r="AV37" s="158" t="s">
        <v>76</v>
      </c>
      <c r="AW37" s="158" t="s">
        <v>76</v>
      </c>
      <c r="AX37" s="158" t="s">
        <v>76</v>
      </c>
      <c r="AY37" s="158" t="s">
        <v>76</v>
      </c>
      <c r="AZ37" s="158" t="s">
        <v>76</v>
      </c>
      <c r="BA37" s="158" t="s">
        <v>76</v>
      </c>
      <c r="BB37" s="158" t="s">
        <v>76</v>
      </c>
      <c r="BC37" s="158" t="s">
        <v>76</v>
      </c>
      <c r="BD37" s="158" t="s">
        <v>76</v>
      </c>
      <c r="BE37" s="158" t="s">
        <v>76</v>
      </c>
      <c r="BF37" s="158" t="s">
        <v>76</v>
      </c>
      <c r="BG37" s="158" t="s">
        <v>76</v>
      </c>
      <c r="BH37" s="158" t="s">
        <v>76</v>
      </c>
      <c r="BI37" s="158" t="s">
        <v>76</v>
      </c>
      <c r="BJ37" s="158" t="s">
        <v>76</v>
      </c>
      <c r="BK37" s="158" t="s">
        <v>76</v>
      </c>
      <c r="BL37" s="158" t="s">
        <v>76</v>
      </c>
      <c r="BM37" s="158" t="s">
        <v>92</v>
      </c>
      <c r="BN37" s="158" t="s">
        <v>254</v>
      </c>
    </row>
    <row r="38" spans="1:66">
      <c r="A38" s="138">
        <v>34</v>
      </c>
      <c r="B38" s="139" t="s">
        <v>67</v>
      </c>
      <c r="C38" s="139">
        <v>75444332</v>
      </c>
      <c r="D38" s="139" t="s">
        <v>414</v>
      </c>
      <c r="E38" s="139" t="s">
        <v>415</v>
      </c>
      <c r="F38" s="139" t="s">
        <v>70</v>
      </c>
      <c r="G38" s="139" t="s">
        <v>71</v>
      </c>
      <c r="H38" s="139" t="s">
        <v>396</v>
      </c>
      <c r="I38" s="139" t="s">
        <v>73</v>
      </c>
      <c r="J38" s="139" t="s">
        <v>74</v>
      </c>
      <c r="K38" s="139" t="s">
        <v>416</v>
      </c>
      <c r="L38" s="139" t="s">
        <v>76</v>
      </c>
      <c r="M38" s="139" t="s">
        <v>77</v>
      </c>
      <c r="N38" s="139" t="s">
        <v>169</v>
      </c>
      <c r="O38" s="139" t="s">
        <v>417</v>
      </c>
      <c r="P38" s="158" t="s">
        <v>80</v>
      </c>
      <c r="Q38" s="158" t="s">
        <v>81</v>
      </c>
      <c r="R38" s="158" t="s">
        <v>82</v>
      </c>
      <c r="S38" s="158" t="s">
        <v>77</v>
      </c>
      <c r="T38" s="158" t="s">
        <v>99</v>
      </c>
      <c r="U38" s="139" t="s">
        <v>418</v>
      </c>
      <c r="V38" s="139" t="s">
        <v>77</v>
      </c>
      <c r="W38" s="158" t="s">
        <v>85</v>
      </c>
      <c r="X38" s="139" t="s">
        <v>419</v>
      </c>
      <c r="Y38" s="139" t="s">
        <v>76</v>
      </c>
      <c r="Z38" s="139" t="s">
        <v>77</v>
      </c>
      <c r="AA38" s="158" t="s">
        <v>87</v>
      </c>
      <c r="AB38" s="139" t="s">
        <v>419</v>
      </c>
      <c r="AC38" s="158" t="s">
        <v>111</v>
      </c>
      <c r="AD38" s="139" t="s">
        <v>112</v>
      </c>
      <c r="AE38" s="163" t="s">
        <v>420</v>
      </c>
      <c r="AF38" s="139" t="s">
        <v>421</v>
      </c>
      <c r="AG38" s="139" t="s">
        <v>77</v>
      </c>
      <c r="AH38" s="158" t="s">
        <v>88</v>
      </c>
      <c r="AI38" s="139" t="s">
        <v>76</v>
      </c>
      <c r="AJ38" s="139" t="s">
        <v>76</v>
      </c>
      <c r="AK38" s="139" t="s">
        <v>77</v>
      </c>
      <c r="AL38" s="158" t="s">
        <v>89</v>
      </c>
      <c r="AM38" s="139" t="s">
        <v>422</v>
      </c>
      <c r="AN38" s="139" t="s">
        <v>76</v>
      </c>
      <c r="AO38" s="139" t="s">
        <v>76</v>
      </c>
      <c r="AP38" s="139" t="s">
        <v>76</v>
      </c>
      <c r="AQ38" s="139" t="s">
        <v>76</v>
      </c>
      <c r="AR38" s="139" t="s">
        <v>76</v>
      </c>
      <c r="AS38" s="139" t="s">
        <v>76</v>
      </c>
      <c r="AT38" s="139" t="s">
        <v>76</v>
      </c>
      <c r="AU38" s="139" t="s">
        <v>76</v>
      </c>
      <c r="AV38" s="139" t="s">
        <v>76</v>
      </c>
      <c r="AW38" s="139" t="s">
        <v>76</v>
      </c>
      <c r="AX38" s="139" t="s">
        <v>76</v>
      </c>
      <c r="AY38" s="139" t="s">
        <v>76</v>
      </c>
      <c r="AZ38" s="139" t="s">
        <v>76</v>
      </c>
      <c r="BA38" s="139" t="s">
        <v>76</v>
      </c>
      <c r="BB38" s="139" t="s">
        <v>76</v>
      </c>
      <c r="BC38" s="139" t="s">
        <v>76</v>
      </c>
      <c r="BD38" s="139" t="s">
        <v>76</v>
      </c>
      <c r="BE38" s="139" t="s">
        <v>76</v>
      </c>
      <c r="BF38" s="139" t="s">
        <v>76</v>
      </c>
      <c r="BG38" s="139" t="s">
        <v>76</v>
      </c>
      <c r="BH38" s="139" t="s">
        <v>76</v>
      </c>
      <c r="BI38" s="139" t="s">
        <v>76</v>
      </c>
      <c r="BJ38" s="139" t="s">
        <v>76</v>
      </c>
      <c r="BK38" s="139" t="s">
        <v>76</v>
      </c>
      <c r="BL38" s="139" t="s">
        <v>76</v>
      </c>
      <c r="BM38" s="158" t="s">
        <v>92</v>
      </c>
      <c r="BN38" s="139" t="s">
        <v>93</v>
      </c>
    </row>
    <row r="39" spans="1:66">
      <c r="A39" s="138">
        <v>35</v>
      </c>
      <c r="B39" s="139" t="s">
        <v>163</v>
      </c>
      <c r="C39" s="139">
        <v>47229137</v>
      </c>
      <c r="D39" s="163" t="s">
        <v>423</v>
      </c>
      <c r="E39" s="163" t="s">
        <v>424</v>
      </c>
      <c r="F39" s="139" t="s">
        <v>70</v>
      </c>
      <c r="G39" s="139" t="s">
        <v>166</v>
      </c>
      <c r="H39" s="163" t="s">
        <v>337</v>
      </c>
      <c r="I39" s="158" t="s">
        <v>73</v>
      </c>
      <c r="J39" s="158" t="s">
        <v>74</v>
      </c>
      <c r="K39" s="158" t="s">
        <v>425</v>
      </c>
      <c r="L39" s="158" t="s">
        <v>76</v>
      </c>
      <c r="M39" s="158" t="s">
        <v>77</v>
      </c>
      <c r="N39" s="158" t="s">
        <v>169</v>
      </c>
      <c r="O39" s="158" t="s">
        <v>426</v>
      </c>
      <c r="P39" s="158" t="s">
        <v>80</v>
      </c>
      <c r="Q39" s="158" t="s">
        <v>81</v>
      </c>
      <c r="R39" s="158" t="s">
        <v>82</v>
      </c>
      <c r="S39" s="158" t="s">
        <v>77</v>
      </c>
      <c r="T39" s="158" t="s">
        <v>99</v>
      </c>
      <c r="U39" s="158" t="s">
        <v>427</v>
      </c>
      <c r="V39" s="158" t="s">
        <v>77</v>
      </c>
      <c r="W39" s="158" t="s">
        <v>85</v>
      </c>
      <c r="X39" s="158" t="s">
        <v>428</v>
      </c>
      <c r="Y39" s="158" t="s">
        <v>76</v>
      </c>
      <c r="Z39" s="158" t="s">
        <v>77</v>
      </c>
      <c r="AA39" s="158" t="s">
        <v>87</v>
      </c>
      <c r="AB39" s="158" t="s">
        <v>428</v>
      </c>
      <c r="AC39" s="158" t="s">
        <v>111</v>
      </c>
      <c r="AD39" s="139" t="s">
        <v>112</v>
      </c>
      <c r="AE39" s="158" t="s">
        <v>429</v>
      </c>
      <c r="AF39" s="158" t="s">
        <v>430</v>
      </c>
      <c r="AG39" s="158" t="s">
        <v>77</v>
      </c>
      <c r="AH39" s="158" t="s">
        <v>88</v>
      </c>
      <c r="AI39" s="158" t="s">
        <v>76</v>
      </c>
      <c r="AJ39" s="158" t="s">
        <v>76</v>
      </c>
      <c r="AK39" s="158" t="s">
        <v>77</v>
      </c>
      <c r="AL39" s="158" t="s">
        <v>89</v>
      </c>
      <c r="AM39" s="158" t="s">
        <v>431</v>
      </c>
      <c r="AN39" s="158" t="s">
        <v>76</v>
      </c>
      <c r="AO39" s="158" t="s">
        <v>76</v>
      </c>
      <c r="AP39" s="158" t="s">
        <v>76</v>
      </c>
      <c r="AQ39" s="158" t="s">
        <v>76</v>
      </c>
      <c r="AR39" s="158" t="s">
        <v>76</v>
      </c>
      <c r="AS39" s="158" t="s">
        <v>76</v>
      </c>
      <c r="AT39" s="158" t="s">
        <v>76</v>
      </c>
      <c r="AU39" s="158" t="s">
        <v>76</v>
      </c>
      <c r="AV39" s="158" t="s">
        <v>76</v>
      </c>
      <c r="AW39" s="158" t="s">
        <v>76</v>
      </c>
      <c r="AX39" s="158" t="s">
        <v>76</v>
      </c>
      <c r="AY39" s="158" t="s">
        <v>76</v>
      </c>
      <c r="AZ39" s="158" t="s">
        <v>76</v>
      </c>
      <c r="BA39" s="158" t="s">
        <v>76</v>
      </c>
      <c r="BB39" s="158" t="s">
        <v>76</v>
      </c>
      <c r="BC39" s="158" t="s">
        <v>76</v>
      </c>
      <c r="BD39" s="158" t="s">
        <v>76</v>
      </c>
      <c r="BE39" s="158" t="s">
        <v>76</v>
      </c>
      <c r="BF39" s="158" t="s">
        <v>76</v>
      </c>
      <c r="BG39" s="158" t="s">
        <v>76</v>
      </c>
      <c r="BH39" s="158" t="s">
        <v>76</v>
      </c>
      <c r="BI39" s="158" t="s">
        <v>76</v>
      </c>
      <c r="BJ39" s="158" t="s">
        <v>76</v>
      </c>
      <c r="BK39" s="158" t="s">
        <v>76</v>
      </c>
      <c r="BL39" s="158" t="s">
        <v>76</v>
      </c>
      <c r="BM39" s="158" t="s">
        <v>92</v>
      </c>
      <c r="BN39" s="158" t="s">
        <v>254</v>
      </c>
    </row>
    <row r="40" spans="1:66">
      <c r="A40" s="138">
        <v>36</v>
      </c>
      <c r="B40" s="139" t="s">
        <v>67</v>
      </c>
      <c r="C40" s="139">
        <v>45198778</v>
      </c>
      <c r="D40" s="163" t="s">
        <v>432</v>
      </c>
      <c r="E40" s="163" t="s">
        <v>433</v>
      </c>
      <c r="F40" s="139" t="s">
        <v>70</v>
      </c>
      <c r="G40" s="163" t="s">
        <v>434</v>
      </c>
      <c r="H40" s="163" t="s">
        <v>435</v>
      </c>
      <c r="I40" s="158" t="s">
        <v>73</v>
      </c>
      <c r="J40" s="158" t="s">
        <v>74</v>
      </c>
      <c r="K40" s="158" t="s">
        <v>436</v>
      </c>
      <c r="L40" s="158" t="s">
        <v>76</v>
      </c>
      <c r="M40" s="158" t="s">
        <v>77</v>
      </c>
      <c r="N40" s="158" t="s">
        <v>169</v>
      </c>
      <c r="O40" s="158" t="s">
        <v>437</v>
      </c>
      <c r="P40" s="158" t="s">
        <v>80</v>
      </c>
      <c r="Q40" s="158" t="s">
        <v>81</v>
      </c>
      <c r="R40" s="158" t="s">
        <v>82</v>
      </c>
      <c r="S40" s="158" t="s">
        <v>77</v>
      </c>
      <c r="T40" s="158" t="s">
        <v>99</v>
      </c>
      <c r="U40" s="158" t="s">
        <v>438</v>
      </c>
      <c r="V40" s="158" t="s">
        <v>77</v>
      </c>
      <c r="W40" s="158" t="s">
        <v>85</v>
      </c>
      <c r="X40" s="158" t="s">
        <v>439</v>
      </c>
      <c r="Y40" s="158" t="s">
        <v>76</v>
      </c>
      <c r="Z40" s="158" t="s">
        <v>77</v>
      </c>
      <c r="AA40" s="158" t="s">
        <v>87</v>
      </c>
      <c r="AB40" s="158" t="s">
        <v>439</v>
      </c>
      <c r="AC40" s="158" t="s">
        <v>111</v>
      </c>
      <c r="AD40" s="139" t="s">
        <v>112</v>
      </c>
      <c r="AE40" s="158" t="s">
        <v>440</v>
      </c>
      <c r="AF40" s="158" t="s">
        <v>441</v>
      </c>
      <c r="AG40" s="158" t="s">
        <v>77</v>
      </c>
      <c r="AH40" s="158" t="s">
        <v>88</v>
      </c>
      <c r="AI40" s="158" t="s">
        <v>76</v>
      </c>
      <c r="AJ40" s="158" t="s">
        <v>76</v>
      </c>
      <c r="AK40" s="158" t="s">
        <v>77</v>
      </c>
      <c r="AL40" s="158" t="s">
        <v>89</v>
      </c>
      <c r="AM40" s="158" t="s">
        <v>442</v>
      </c>
      <c r="AN40" s="158" t="s">
        <v>76</v>
      </c>
      <c r="AO40" s="158" t="s">
        <v>76</v>
      </c>
      <c r="AP40" s="158" t="s">
        <v>76</v>
      </c>
      <c r="AQ40" s="158" t="s">
        <v>76</v>
      </c>
      <c r="AR40" s="158" t="s">
        <v>76</v>
      </c>
      <c r="AS40" s="158" t="s">
        <v>76</v>
      </c>
      <c r="AT40" s="158" t="s">
        <v>76</v>
      </c>
      <c r="AU40" s="158" t="s">
        <v>76</v>
      </c>
      <c r="AV40" s="158" t="s">
        <v>76</v>
      </c>
      <c r="AW40" s="158" t="s">
        <v>76</v>
      </c>
      <c r="AX40" s="158" t="s">
        <v>76</v>
      </c>
      <c r="AY40" s="158" t="s">
        <v>76</v>
      </c>
      <c r="AZ40" s="158" t="s">
        <v>76</v>
      </c>
      <c r="BA40" s="158" t="s">
        <v>76</v>
      </c>
      <c r="BB40" s="158" t="s">
        <v>76</v>
      </c>
      <c r="BC40" s="158" t="s">
        <v>76</v>
      </c>
      <c r="BD40" s="158" t="s">
        <v>76</v>
      </c>
      <c r="BE40" s="158" t="s">
        <v>76</v>
      </c>
      <c r="BF40" s="158" t="s">
        <v>76</v>
      </c>
      <c r="BG40" s="158" t="s">
        <v>76</v>
      </c>
      <c r="BH40" s="158" t="s">
        <v>76</v>
      </c>
      <c r="BI40" s="158" t="s">
        <v>76</v>
      </c>
      <c r="BJ40" s="158" t="s">
        <v>76</v>
      </c>
      <c r="BK40" s="158" t="s">
        <v>76</v>
      </c>
      <c r="BL40" s="158" t="s">
        <v>76</v>
      </c>
      <c r="BM40" s="139" t="s">
        <v>116</v>
      </c>
      <c r="BN40" s="158" t="s">
        <v>254</v>
      </c>
    </row>
    <row r="41" spans="1:66">
      <c r="A41" s="138">
        <v>37</v>
      </c>
      <c r="B41" s="139" t="s">
        <v>163</v>
      </c>
      <c r="C41" s="139">
        <v>75652803</v>
      </c>
      <c r="D41" s="163" t="s">
        <v>443</v>
      </c>
      <c r="E41" s="163" t="s">
        <v>444</v>
      </c>
      <c r="F41" s="139" t="s">
        <v>70</v>
      </c>
      <c r="G41" s="163" t="s">
        <v>166</v>
      </c>
      <c r="H41" s="163" t="s">
        <v>445</v>
      </c>
      <c r="I41" s="158" t="s">
        <v>73</v>
      </c>
      <c r="J41" s="158" t="s">
        <v>74</v>
      </c>
      <c r="K41" s="158" t="s">
        <v>446</v>
      </c>
      <c r="L41" s="158" t="s">
        <v>76</v>
      </c>
      <c r="M41" s="158" t="s">
        <v>77</v>
      </c>
      <c r="N41" s="158" t="s">
        <v>169</v>
      </c>
      <c r="O41" s="158" t="s">
        <v>447</v>
      </c>
      <c r="P41" s="158" t="s">
        <v>80</v>
      </c>
      <c r="Q41" s="158" t="s">
        <v>81</v>
      </c>
      <c r="R41" s="158" t="s">
        <v>82</v>
      </c>
      <c r="S41" s="158" t="s">
        <v>77</v>
      </c>
      <c r="T41" s="158" t="s">
        <v>99</v>
      </c>
      <c r="U41" s="158" t="s">
        <v>448</v>
      </c>
      <c r="V41" s="158" t="s">
        <v>77</v>
      </c>
      <c r="W41" s="158" t="s">
        <v>85</v>
      </c>
      <c r="X41" s="158" t="s">
        <v>449</v>
      </c>
      <c r="Y41" s="158" t="s">
        <v>76</v>
      </c>
      <c r="Z41" s="158" t="s">
        <v>77</v>
      </c>
      <c r="AA41" s="158" t="s">
        <v>87</v>
      </c>
      <c r="AB41" s="158" t="s">
        <v>449</v>
      </c>
      <c r="AC41" s="158" t="s">
        <v>111</v>
      </c>
      <c r="AD41" s="139" t="s">
        <v>112</v>
      </c>
      <c r="AE41" s="158" t="s">
        <v>450</v>
      </c>
      <c r="AF41" s="158" t="s">
        <v>451</v>
      </c>
      <c r="AG41" s="158" t="s">
        <v>77</v>
      </c>
      <c r="AH41" s="158" t="s">
        <v>88</v>
      </c>
      <c r="AI41" s="158" t="s">
        <v>76</v>
      </c>
      <c r="AJ41" s="158" t="s">
        <v>76</v>
      </c>
      <c r="AK41" s="158" t="s">
        <v>77</v>
      </c>
      <c r="AL41" s="158" t="s">
        <v>89</v>
      </c>
      <c r="AM41" s="158" t="s">
        <v>452</v>
      </c>
      <c r="AN41" s="158" t="s">
        <v>76</v>
      </c>
      <c r="AO41" s="158" t="s">
        <v>76</v>
      </c>
      <c r="AP41" s="158" t="s">
        <v>76</v>
      </c>
      <c r="AQ41" s="158" t="s">
        <v>76</v>
      </c>
      <c r="AR41" s="158" t="s">
        <v>76</v>
      </c>
      <c r="AS41" s="158" t="s">
        <v>76</v>
      </c>
      <c r="AT41" s="158" t="s">
        <v>76</v>
      </c>
      <c r="AU41" s="158" t="s">
        <v>76</v>
      </c>
      <c r="AV41" s="158" t="s">
        <v>76</v>
      </c>
      <c r="AW41" s="158" t="s">
        <v>76</v>
      </c>
      <c r="AX41" s="158" t="s">
        <v>76</v>
      </c>
      <c r="AY41" s="158" t="s">
        <v>76</v>
      </c>
      <c r="AZ41" s="158" t="s">
        <v>76</v>
      </c>
      <c r="BA41" s="158" t="s">
        <v>76</v>
      </c>
      <c r="BB41" s="158" t="s">
        <v>76</v>
      </c>
      <c r="BC41" s="158" t="s">
        <v>76</v>
      </c>
      <c r="BD41" s="158" t="s">
        <v>76</v>
      </c>
      <c r="BE41" s="158" t="s">
        <v>76</v>
      </c>
      <c r="BF41" s="158" t="s">
        <v>76</v>
      </c>
      <c r="BG41" s="158" t="s">
        <v>76</v>
      </c>
      <c r="BH41" s="158" t="s">
        <v>76</v>
      </c>
      <c r="BI41" s="158" t="s">
        <v>76</v>
      </c>
      <c r="BJ41" s="158" t="s">
        <v>76</v>
      </c>
      <c r="BK41" s="158" t="s">
        <v>76</v>
      </c>
      <c r="BL41" s="158" t="s">
        <v>76</v>
      </c>
      <c r="BM41" s="139" t="s">
        <v>116</v>
      </c>
      <c r="BN41" s="158" t="s">
        <v>254</v>
      </c>
    </row>
    <row r="42" spans="1:66">
      <c r="A42" s="138">
        <v>38</v>
      </c>
      <c r="B42" s="139" t="s">
        <v>67</v>
      </c>
      <c r="C42" s="139">
        <v>46493935</v>
      </c>
      <c r="D42" s="163" t="s">
        <v>453</v>
      </c>
      <c r="E42" s="163" t="s">
        <v>454</v>
      </c>
      <c r="F42" s="139" t="s">
        <v>70</v>
      </c>
      <c r="G42" s="163" t="s">
        <v>71</v>
      </c>
      <c r="H42" s="163" t="s">
        <v>396</v>
      </c>
      <c r="I42" s="158" t="s">
        <v>73</v>
      </c>
      <c r="J42" s="158" t="s">
        <v>74</v>
      </c>
      <c r="K42" s="158" t="s">
        <v>455</v>
      </c>
      <c r="L42" s="158" t="s">
        <v>76</v>
      </c>
      <c r="M42" s="158" t="s">
        <v>77</v>
      </c>
      <c r="N42" s="158" t="s">
        <v>169</v>
      </c>
      <c r="O42" s="158" t="s">
        <v>456</v>
      </c>
      <c r="P42" s="158" t="s">
        <v>80</v>
      </c>
      <c r="Q42" s="158" t="s">
        <v>81</v>
      </c>
      <c r="R42" s="158" t="s">
        <v>82</v>
      </c>
      <c r="S42" s="158" t="s">
        <v>77</v>
      </c>
      <c r="T42" s="158" t="s">
        <v>99</v>
      </c>
      <c r="U42" s="158" t="s">
        <v>457</v>
      </c>
      <c r="V42" s="158" t="s">
        <v>77</v>
      </c>
      <c r="W42" s="158" t="s">
        <v>85</v>
      </c>
      <c r="X42" s="158" t="s">
        <v>458</v>
      </c>
      <c r="Y42" s="158" t="s">
        <v>76</v>
      </c>
      <c r="Z42" s="158" t="s">
        <v>77</v>
      </c>
      <c r="AA42" s="158" t="s">
        <v>87</v>
      </c>
      <c r="AB42" s="158" t="s">
        <v>458</v>
      </c>
      <c r="AC42" s="158" t="s">
        <v>111</v>
      </c>
      <c r="AD42" s="139" t="s">
        <v>112</v>
      </c>
      <c r="AE42" s="158" t="s">
        <v>459</v>
      </c>
      <c r="AF42" s="139" t="s">
        <v>460</v>
      </c>
      <c r="AG42" s="158" t="s">
        <v>77</v>
      </c>
      <c r="AH42" s="158" t="s">
        <v>88</v>
      </c>
      <c r="AI42" s="158" t="s">
        <v>76</v>
      </c>
      <c r="AJ42" s="158" t="s">
        <v>76</v>
      </c>
      <c r="AK42" s="158" t="s">
        <v>77</v>
      </c>
      <c r="AL42" s="158" t="s">
        <v>89</v>
      </c>
      <c r="AM42" s="158" t="s">
        <v>461</v>
      </c>
      <c r="AN42" s="158" t="s">
        <v>76</v>
      </c>
      <c r="AO42" s="158" t="s">
        <v>76</v>
      </c>
      <c r="AP42" s="158" t="s">
        <v>76</v>
      </c>
      <c r="AQ42" s="158" t="s">
        <v>76</v>
      </c>
      <c r="AR42" s="158" t="s">
        <v>76</v>
      </c>
      <c r="AS42" s="158" t="s">
        <v>76</v>
      </c>
      <c r="AT42" s="158" t="s">
        <v>76</v>
      </c>
      <c r="AU42" s="158" t="s">
        <v>76</v>
      </c>
      <c r="AV42" s="158" t="s">
        <v>76</v>
      </c>
      <c r="AW42" s="158" t="s">
        <v>76</v>
      </c>
      <c r="AX42" s="158" t="s">
        <v>76</v>
      </c>
      <c r="AY42" s="158" t="s">
        <v>76</v>
      </c>
      <c r="AZ42" s="158" t="s">
        <v>76</v>
      </c>
      <c r="BA42" s="158" t="s">
        <v>76</v>
      </c>
      <c r="BB42" s="158" t="s">
        <v>76</v>
      </c>
      <c r="BC42" s="158" t="s">
        <v>76</v>
      </c>
      <c r="BD42" s="158" t="s">
        <v>76</v>
      </c>
      <c r="BE42" s="158" t="s">
        <v>76</v>
      </c>
      <c r="BF42" s="158" t="s">
        <v>76</v>
      </c>
      <c r="BG42" s="158" t="s">
        <v>76</v>
      </c>
      <c r="BH42" s="158" t="s">
        <v>76</v>
      </c>
      <c r="BI42" s="158" t="s">
        <v>76</v>
      </c>
      <c r="BJ42" s="158" t="s">
        <v>76</v>
      </c>
      <c r="BK42" s="158" t="s">
        <v>76</v>
      </c>
      <c r="BL42" s="158" t="s">
        <v>76</v>
      </c>
      <c r="BM42" s="158" t="s">
        <v>92</v>
      </c>
      <c r="BN42" s="158" t="s">
        <v>254</v>
      </c>
    </row>
    <row r="43" spans="1:66">
      <c r="A43" s="138">
        <v>39</v>
      </c>
      <c r="B43" s="139" t="s">
        <v>67</v>
      </c>
      <c r="C43" s="139">
        <v>41350040</v>
      </c>
      <c r="D43" s="163" t="s">
        <v>462</v>
      </c>
      <c r="E43" s="163" t="s">
        <v>463</v>
      </c>
      <c r="F43" s="139" t="s">
        <v>70</v>
      </c>
      <c r="G43" s="163" t="s">
        <v>71</v>
      </c>
      <c r="H43" s="163" t="s">
        <v>406</v>
      </c>
      <c r="I43" s="158" t="s">
        <v>73</v>
      </c>
      <c r="J43" s="158" t="s">
        <v>74</v>
      </c>
      <c r="K43" s="158" t="s">
        <v>464</v>
      </c>
      <c r="L43" s="158" t="s">
        <v>76</v>
      </c>
      <c r="M43" s="158" t="s">
        <v>77</v>
      </c>
      <c r="N43" s="158" t="s">
        <v>169</v>
      </c>
      <c r="O43" s="158" t="s">
        <v>465</v>
      </c>
      <c r="P43" s="158" t="s">
        <v>80</v>
      </c>
      <c r="Q43" s="158" t="s">
        <v>81</v>
      </c>
      <c r="R43" s="158" t="s">
        <v>82</v>
      </c>
      <c r="S43" s="158" t="s">
        <v>77</v>
      </c>
      <c r="T43" s="158" t="s">
        <v>83</v>
      </c>
      <c r="U43" s="158" t="s">
        <v>466</v>
      </c>
      <c r="V43" s="158" t="s">
        <v>77</v>
      </c>
      <c r="W43" s="158" t="s">
        <v>85</v>
      </c>
      <c r="X43" s="158" t="s">
        <v>467</v>
      </c>
      <c r="Y43" s="158" t="s">
        <v>76</v>
      </c>
      <c r="Z43" s="158" t="s">
        <v>77</v>
      </c>
      <c r="AA43" s="158" t="s">
        <v>87</v>
      </c>
      <c r="AB43" s="158" t="s">
        <v>467</v>
      </c>
      <c r="AC43" s="158" t="s">
        <v>111</v>
      </c>
      <c r="AD43" s="139" t="s">
        <v>112</v>
      </c>
      <c r="AE43" s="163" t="s">
        <v>468</v>
      </c>
      <c r="AF43" s="139" t="s">
        <v>469</v>
      </c>
      <c r="AG43" s="158" t="s">
        <v>77</v>
      </c>
      <c r="AH43" s="158" t="s">
        <v>88</v>
      </c>
      <c r="AI43" s="158" t="s">
        <v>76</v>
      </c>
      <c r="AJ43" s="158" t="s">
        <v>76</v>
      </c>
      <c r="AK43" s="158" t="s">
        <v>77</v>
      </c>
      <c r="AL43" s="158" t="s">
        <v>89</v>
      </c>
      <c r="AM43" s="158" t="s">
        <v>470</v>
      </c>
      <c r="AN43" s="158" t="s">
        <v>76</v>
      </c>
      <c r="AO43" s="158" t="s">
        <v>76</v>
      </c>
      <c r="AP43" s="158" t="s">
        <v>76</v>
      </c>
      <c r="AQ43" s="158" t="s">
        <v>76</v>
      </c>
      <c r="AR43" s="158" t="s">
        <v>76</v>
      </c>
      <c r="AS43" s="158" t="s">
        <v>76</v>
      </c>
      <c r="AT43" s="158" t="s">
        <v>76</v>
      </c>
      <c r="AU43" s="158" t="s">
        <v>76</v>
      </c>
      <c r="AV43" s="158" t="s">
        <v>76</v>
      </c>
      <c r="AW43" s="158" t="s">
        <v>76</v>
      </c>
      <c r="AX43" s="158" t="s">
        <v>76</v>
      </c>
      <c r="AY43" s="158" t="s">
        <v>76</v>
      </c>
      <c r="AZ43" s="158" t="s">
        <v>76</v>
      </c>
      <c r="BA43" s="158" t="s">
        <v>76</v>
      </c>
      <c r="BB43" s="158" t="s">
        <v>76</v>
      </c>
      <c r="BC43" s="158" t="s">
        <v>76</v>
      </c>
      <c r="BD43" s="158" t="s">
        <v>76</v>
      </c>
      <c r="BE43" s="158" t="s">
        <v>76</v>
      </c>
      <c r="BF43" s="158" t="s">
        <v>76</v>
      </c>
      <c r="BG43" s="158" t="s">
        <v>76</v>
      </c>
      <c r="BH43" s="158" t="s">
        <v>76</v>
      </c>
      <c r="BI43" s="158" t="s">
        <v>76</v>
      </c>
      <c r="BJ43" s="158" t="s">
        <v>76</v>
      </c>
      <c r="BK43" s="158" t="s">
        <v>76</v>
      </c>
      <c r="BL43" s="158" t="s">
        <v>76</v>
      </c>
      <c r="BM43" s="158" t="s">
        <v>92</v>
      </c>
      <c r="BN43" s="158" t="s">
        <v>254</v>
      </c>
    </row>
    <row r="44" spans="1:66">
      <c r="A44" s="138">
        <v>40</v>
      </c>
      <c r="B44" s="163" t="s">
        <v>67</v>
      </c>
      <c r="C44" s="139">
        <v>71625141</v>
      </c>
      <c r="D44" s="163" t="s">
        <v>471</v>
      </c>
      <c r="E44" s="163" t="s">
        <v>472</v>
      </c>
      <c r="F44" s="163" t="s">
        <v>70</v>
      </c>
      <c r="G44" s="163" t="s">
        <v>71</v>
      </c>
      <c r="H44" s="163" t="s">
        <v>473</v>
      </c>
      <c r="I44" s="158" t="s">
        <v>73</v>
      </c>
      <c r="J44" s="158" t="s">
        <v>74</v>
      </c>
      <c r="K44" s="158" t="s">
        <v>474</v>
      </c>
      <c r="L44" s="158" t="s">
        <v>76</v>
      </c>
      <c r="M44" s="158" t="s">
        <v>77</v>
      </c>
      <c r="N44" s="158" t="s">
        <v>169</v>
      </c>
      <c r="O44" s="158" t="s">
        <v>475</v>
      </c>
      <c r="P44" s="158" t="s">
        <v>80</v>
      </c>
      <c r="Q44" s="158" t="s">
        <v>81</v>
      </c>
      <c r="R44" s="158" t="s">
        <v>82</v>
      </c>
      <c r="S44" s="158" t="s">
        <v>77</v>
      </c>
      <c r="T44" s="158" t="s">
        <v>99</v>
      </c>
      <c r="U44" s="158" t="s">
        <v>476</v>
      </c>
      <c r="V44" s="158" t="s">
        <v>77</v>
      </c>
      <c r="W44" s="158" t="s">
        <v>85</v>
      </c>
      <c r="X44" s="158" t="s">
        <v>477</v>
      </c>
      <c r="Y44" s="163" t="s">
        <v>76</v>
      </c>
      <c r="Z44" s="163" t="s">
        <v>77</v>
      </c>
      <c r="AA44" s="158" t="s">
        <v>87</v>
      </c>
      <c r="AB44" s="158" t="s">
        <v>477</v>
      </c>
      <c r="AC44" s="158" t="s">
        <v>111</v>
      </c>
      <c r="AD44" s="139" t="s">
        <v>112</v>
      </c>
      <c r="AE44" s="163" t="s">
        <v>478</v>
      </c>
      <c r="AF44" s="163" t="s">
        <v>479</v>
      </c>
      <c r="AG44" s="163" t="s">
        <v>77</v>
      </c>
      <c r="AH44" s="158" t="s">
        <v>88</v>
      </c>
      <c r="AI44" s="158" t="s">
        <v>76</v>
      </c>
      <c r="AJ44" s="158" t="s">
        <v>76</v>
      </c>
      <c r="AK44" s="158" t="s">
        <v>77</v>
      </c>
      <c r="AL44" s="158" t="s">
        <v>89</v>
      </c>
      <c r="AM44" s="139"/>
      <c r="AN44" s="158" t="s">
        <v>76</v>
      </c>
      <c r="AO44" s="158" t="s">
        <v>76</v>
      </c>
      <c r="AP44" s="158" t="s">
        <v>76</v>
      </c>
      <c r="AQ44" s="158" t="s">
        <v>76</v>
      </c>
      <c r="AR44" s="158" t="s">
        <v>76</v>
      </c>
      <c r="AS44" s="158" t="s">
        <v>76</v>
      </c>
      <c r="AT44" s="158" t="s">
        <v>76</v>
      </c>
      <c r="AU44" s="158" t="s">
        <v>76</v>
      </c>
      <c r="AV44" s="158" t="s">
        <v>76</v>
      </c>
      <c r="AW44" s="158" t="s">
        <v>76</v>
      </c>
      <c r="AX44" s="158" t="s">
        <v>76</v>
      </c>
      <c r="AY44" s="158" t="s">
        <v>76</v>
      </c>
      <c r="AZ44" s="158" t="s">
        <v>76</v>
      </c>
      <c r="BA44" s="158" t="s">
        <v>76</v>
      </c>
      <c r="BB44" s="158" t="s">
        <v>76</v>
      </c>
      <c r="BC44" s="158" t="s">
        <v>76</v>
      </c>
      <c r="BD44" s="158" t="s">
        <v>76</v>
      </c>
      <c r="BE44" s="158" t="s">
        <v>76</v>
      </c>
      <c r="BF44" s="158" t="s">
        <v>76</v>
      </c>
      <c r="BG44" s="158" t="s">
        <v>76</v>
      </c>
      <c r="BH44" s="158" t="s">
        <v>76</v>
      </c>
      <c r="BI44" s="158" t="s">
        <v>76</v>
      </c>
      <c r="BJ44" s="158" t="s">
        <v>76</v>
      </c>
      <c r="BK44" s="158" t="s">
        <v>76</v>
      </c>
      <c r="BL44" s="158" t="s">
        <v>76</v>
      </c>
      <c r="BM44" s="163" t="s">
        <v>92</v>
      </c>
      <c r="BN44" s="163" t="s">
        <v>254</v>
      </c>
    </row>
    <row r="45" spans="1:66" ht="15">
      <c r="A45" s="138">
        <v>41</v>
      </c>
      <c r="B45" s="163" t="s">
        <v>67</v>
      </c>
      <c r="C45" s="139">
        <v>71693687</v>
      </c>
      <c r="D45" s="163" t="s">
        <v>480</v>
      </c>
      <c r="E45" s="163" t="s">
        <v>481</v>
      </c>
      <c r="F45" s="163" t="s">
        <v>70</v>
      </c>
      <c r="G45" s="163" t="s">
        <v>482</v>
      </c>
      <c r="H45" s="163" t="s">
        <v>483</v>
      </c>
      <c r="I45" s="158" t="s">
        <v>73</v>
      </c>
      <c r="J45" s="158" t="s">
        <v>74</v>
      </c>
      <c r="K45" s="158" t="s">
        <v>484</v>
      </c>
      <c r="L45" s="158" t="s">
        <v>76</v>
      </c>
      <c r="M45" s="158" t="s">
        <v>77</v>
      </c>
      <c r="N45" s="158" t="s">
        <v>169</v>
      </c>
      <c r="O45" s="158" t="s">
        <v>485</v>
      </c>
      <c r="P45" s="158" t="s">
        <v>80</v>
      </c>
      <c r="Q45" s="158" t="s">
        <v>81</v>
      </c>
      <c r="R45" s="158" t="s">
        <v>82</v>
      </c>
      <c r="S45" s="158" t="s">
        <v>77</v>
      </c>
      <c r="T45" s="158" t="s">
        <v>99</v>
      </c>
      <c r="U45" s="158" t="s">
        <v>486</v>
      </c>
      <c r="V45" s="158" t="s">
        <v>77</v>
      </c>
      <c r="W45" s="158" t="s">
        <v>85</v>
      </c>
      <c r="X45" s="158" t="s">
        <v>487</v>
      </c>
      <c r="Y45" s="158" t="s">
        <v>76</v>
      </c>
      <c r="Z45" s="158" t="s">
        <v>77</v>
      </c>
      <c r="AA45" s="158" t="s">
        <v>87</v>
      </c>
      <c r="AB45" s="158" t="s">
        <v>487</v>
      </c>
      <c r="AC45" s="158" t="s">
        <v>111</v>
      </c>
      <c r="AD45" s="139" t="s">
        <v>112</v>
      </c>
      <c r="AE45" s="158" t="s">
        <v>488</v>
      </c>
      <c r="AF45" s="139" t="s">
        <v>489</v>
      </c>
      <c r="AG45" s="158" t="s">
        <v>77</v>
      </c>
      <c r="AH45" s="158" t="s">
        <v>88</v>
      </c>
      <c r="AI45" s="158" t="s">
        <v>76</v>
      </c>
      <c r="AJ45" s="158" t="s">
        <v>76</v>
      </c>
      <c r="AK45" s="158" t="s">
        <v>77</v>
      </c>
      <c r="AL45" s="158" t="s">
        <v>89</v>
      </c>
      <c r="AM45" s="158" t="s">
        <v>490</v>
      </c>
      <c r="AN45" s="158" t="s">
        <v>76</v>
      </c>
      <c r="AO45" s="158" t="s">
        <v>76</v>
      </c>
      <c r="AP45" s="158" t="s">
        <v>76</v>
      </c>
      <c r="AQ45" s="158" t="s">
        <v>76</v>
      </c>
      <c r="AR45" s="158" t="s">
        <v>76</v>
      </c>
      <c r="AS45" s="158" t="s">
        <v>76</v>
      </c>
      <c r="AT45" s="158" t="s">
        <v>76</v>
      </c>
      <c r="AU45" s="158" t="s">
        <v>76</v>
      </c>
      <c r="AV45" s="158" t="s">
        <v>76</v>
      </c>
      <c r="AW45" s="158" t="s">
        <v>76</v>
      </c>
      <c r="AX45" s="158" t="s">
        <v>76</v>
      </c>
      <c r="AY45" s="158" t="s">
        <v>76</v>
      </c>
      <c r="AZ45" s="158" t="s">
        <v>76</v>
      </c>
      <c r="BA45" s="158" t="s">
        <v>76</v>
      </c>
      <c r="BB45" s="158" t="s">
        <v>76</v>
      </c>
      <c r="BC45" s="158" t="s">
        <v>76</v>
      </c>
      <c r="BD45" s="158" t="s">
        <v>76</v>
      </c>
      <c r="BE45" s="158" t="s">
        <v>76</v>
      </c>
      <c r="BF45" s="158" t="s">
        <v>76</v>
      </c>
      <c r="BG45" s="158" t="s">
        <v>76</v>
      </c>
      <c r="BH45" s="158" t="s">
        <v>76</v>
      </c>
      <c r="BI45" s="158" t="s">
        <v>76</v>
      </c>
      <c r="BJ45" s="158" t="s">
        <v>76</v>
      </c>
      <c r="BK45" s="158" t="s">
        <v>76</v>
      </c>
      <c r="BL45" s="158" t="s">
        <v>76</v>
      </c>
      <c r="BM45" s="158" t="s">
        <v>92</v>
      </c>
      <c r="BN45" s="158" t="s">
        <v>254</v>
      </c>
    </row>
    <row r="46" spans="1:66" ht="15">
      <c r="A46" s="138">
        <v>42</v>
      </c>
      <c r="B46" s="163" t="s">
        <v>67</v>
      </c>
      <c r="C46" s="139">
        <v>74951459</v>
      </c>
      <c r="D46" s="163" t="s">
        <v>491</v>
      </c>
      <c r="E46" s="163" t="s">
        <v>492</v>
      </c>
      <c r="F46" s="163" t="s">
        <v>70</v>
      </c>
      <c r="G46" s="163" t="s">
        <v>482</v>
      </c>
      <c r="H46" s="163" t="s">
        <v>493</v>
      </c>
      <c r="I46" s="164" t="s">
        <v>73</v>
      </c>
      <c r="J46" s="158" t="s">
        <v>74</v>
      </c>
      <c r="K46" s="165" t="s">
        <v>494</v>
      </c>
      <c r="L46" s="165" t="s">
        <v>76</v>
      </c>
      <c r="M46" s="165" t="s">
        <v>77</v>
      </c>
      <c r="N46" s="165" t="s">
        <v>169</v>
      </c>
      <c r="O46" s="165" t="s">
        <v>495</v>
      </c>
      <c r="P46" s="165" t="s">
        <v>80</v>
      </c>
      <c r="Q46" s="165" t="s">
        <v>81</v>
      </c>
      <c r="R46" s="165" t="s">
        <v>82</v>
      </c>
      <c r="S46" s="165" t="s">
        <v>77</v>
      </c>
      <c r="T46" s="165" t="s">
        <v>99</v>
      </c>
      <c r="U46" s="165" t="s">
        <v>496</v>
      </c>
      <c r="V46" s="165" t="s">
        <v>77</v>
      </c>
      <c r="W46" s="165" t="s">
        <v>85</v>
      </c>
      <c r="X46" s="165" t="s">
        <v>497</v>
      </c>
      <c r="Y46" s="165" t="s">
        <v>76</v>
      </c>
      <c r="Z46" s="165" t="s">
        <v>77</v>
      </c>
      <c r="AA46" s="165" t="s">
        <v>87</v>
      </c>
      <c r="AB46" s="165" t="s">
        <v>497</v>
      </c>
      <c r="AC46" s="165" t="s">
        <v>498</v>
      </c>
      <c r="AD46" s="165" t="s">
        <v>498</v>
      </c>
      <c r="AE46" s="165" t="s">
        <v>498</v>
      </c>
      <c r="AF46" s="165" t="s">
        <v>498</v>
      </c>
      <c r="AG46" s="165" t="s">
        <v>77</v>
      </c>
      <c r="AH46" s="165" t="s">
        <v>88</v>
      </c>
      <c r="AI46" s="165" t="s">
        <v>76</v>
      </c>
      <c r="AJ46" s="165" t="s">
        <v>76</v>
      </c>
      <c r="AK46" s="165" t="s">
        <v>77</v>
      </c>
      <c r="AL46" s="165" t="s">
        <v>89</v>
      </c>
      <c r="AM46" s="165" t="s">
        <v>499</v>
      </c>
      <c r="AN46" s="165" t="s">
        <v>76</v>
      </c>
      <c r="AO46" s="165" t="s">
        <v>76</v>
      </c>
      <c r="AP46" s="165" t="s">
        <v>76</v>
      </c>
      <c r="AQ46" s="165" t="s">
        <v>76</v>
      </c>
      <c r="AR46" s="165" t="s">
        <v>76</v>
      </c>
      <c r="AS46" s="165" t="s">
        <v>76</v>
      </c>
      <c r="AT46" s="165" t="s">
        <v>76</v>
      </c>
      <c r="AU46" s="165" t="s">
        <v>76</v>
      </c>
      <c r="AV46" s="165" t="s">
        <v>76</v>
      </c>
      <c r="AW46" s="165" t="s">
        <v>76</v>
      </c>
      <c r="AX46" s="165" t="s">
        <v>76</v>
      </c>
      <c r="AY46" s="165" t="s">
        <v>76</v>
      </c>
      <c r="AZ46" s="165" t="s">
        <v>76</v>
      </c>
      <c r="BA46" s="165" t="s">
        <v>76</v>
      </c>
      <c r="BB46" s="165" t="s">
        <v>76</v>
      </c>
      <c r="BC46" s="165" t="s">
        <v>76</v>
      </c>
      <c r="BD46" s="165" t="s">
        <v>76</v>
      </c>
      <c r="BE46" s="165" t="s">
        <v>76</v>
      </c>
      <c r="BF46" s="165" t="s">
        <v>76</v>
      </c>
      <c r="BG46" s="165" t="s">
        <v>76</v>
      </c>
      <c r="BH46" s="165" t="s">
        <v>76</v>
      </c>
      <c r="BI46" s="165" t="s">
        <v>76</v>
      </c>
      <c r="BJ46" s="165" t="s">
        <v>76</v>
      </c>
      <c r="BK46" s="165" t="s">
        <v>76</v>
      </c>
      <c r="BL46" s="165" t="s">
        <v>76</v>
      </c>
      <c r="BM46" s="165" t="s">
        <v>92</v>
      </c>
      <c r="BN46" s="165" t="s">
        <v>254</v>
      </c>
    </row>
    <row r="47" spans="1:66" ht="15">
      <c r="A47" s="138">
        <v>43</v>
      </c>
      <c r="B47" t="s">
        <v>67</v>
      </c>
      <c r="C47" s="139">
        <v>44369362</v>
      </c>
      <c r="D47" s="163" t="s">
        <v>500</v>
      </c>
      <c r="E47" t="s">
        <v>501</v>
      </c>
      <c r="F47" t="s">
        <v>70</v>
      </c>
      <c r="G47" t="s">
        <v>482</v>
      </c>
      <c r="H47" t="s">
        <v>502</v>
      </c>
      <c r="I47" s="158" t="s">
        <v>73</v>
      </c>
      <c r="J47" s="158" t="s">
        <v>74</v>
      </c>
      <c r="K47" t="s">
        <v>503</v>
      </c>
      <c r="L47" t="s">
        <v>76</v>
      </c>
      <c r="M47" t="s">
        <v>77</v>
      </c>
      <c r="N47" s="158" t="s">
        <v>169</v>
      </c>
      <c r="O47" t="s">
        <v>504</v>
      </c>
      <c r="P47" s="158" t="s">
        <v>80</v>
      </c>
      <c r="Q47" s="158" t="s">
        <v>81</v>
      </c>
      <c r="R47" s="158" t="s">
        <v>82</v>
      </c>
      <c r="S47" s="158" t="s">
        <v>77</v>
      </c>
      <c r="T47" s="158" t="s">
        <v>99</v>
      </c>
      <c r="U47" t="s">
        <v>505</v>
      </c>
      <c r="V47" s="158" t="s">
        <v>77</v>
      </c>
      <c r="W47" s="158" t="s">
        <v>85</v>
      </c>
      <c r="X47" t="s">
        <v>506</v>
      </c>
      <c r="Y47" s="158" t="s">
        <v>76</v>
      </c>
      <c r="Z47" s="158" t="s">
        <v>77</v>
      </c>
      <c r="AA47" s="158" t="s">
        <v>87</v>
      </c>
      <c r="AB47" s="139" t="s">
        <v>506</v>
      </c>
      <c r="AC47" s="139" t="s">
        <v>111</v>
      </c>
      <c r="AD47" s="139" t="s">
        <v>112</v>
      </c>
      <c r="AE47" s="139" t="s">
        <v>507</v>
      </c>
      <c r="AF47" s="139" t="s">
        <v>508</v>
      </c>
      <c r="AG47" s="158" t="s">
        <v>77</v>
      </c>
      <c r="AH47" s="158" t="s">
        <v>88</v>
      </c>
      <c r="AI47" s="158" t="s">
        <v>76</v>
      </c>
      <c r="AJ47" s="158" t="s">
        <v>76</v>
      </c>
      <c r="AK47" s="158" t="s">
        <v>77</v>
      </c>
      <c r="AL47" s="158" t="s">
        <v>89</v>
      </c>
      <c r="AM47" s="139" t="s">
        <v>509</v>
      </c>
      <c r="AN47" s="158" t="s">
        <v>76</v>
      </c>
      <c r="AO47" s="158" t="s">
        <v>76</v>
      </c>
      <c r="AP47" s="158" t="s">
        <v>76</v>
      </c>
      <c r="AQ47" s="158" t="s">
        <v>76</v>
      </c>
      <c r="AR47" s="158" t="s">
        <v>76</v>
      </c>
      <c r="AS47" s="158" t="s">
        <v>76</v>
      </c>
      <c r="AT47" s="158" t="s">
        <v>76</v>
      </c>
      <c r="AU47" s="158" t="s">
        <v>76</v>
      </c>
      <c r="AV47" s="158" t="s">
        <v>76</v>
      </c>
      <c r="AW47" s="158" t="s">
        <v>76</v>
      </c>
      <c r="AX47" s="158" t="s">
        <v>76</v>
      </c>
      <c r="AY47" s="158" t="s">
        <v>76</v>
      </c>
      <c r="AZ47" s="158" t="s">
        <v>76</v>
      </c>
      <c r="BA47" s="158" t="s">
        <v>76</v>
      </c>
      <c r="BB47" s="158" t="s">
        <v>76</v>
      </c>
      <c r="BC47" s="158" t="s">
        <v>76</v>
      </c>
      <c r="BD47" s="158" t="s">
        <v>76</v>
      </c>
      <c r="BE47" s="158" t="s">
        <v>76</v>
      </c>
      <c r="BF47" s="158" t="s">
        <v>76</v>
      </c>
      <c r="BG47" s="158" t="s">
        <v>76</v>
      </c>
      <c r="BH47" s="158" t="s">
        <v>76</v>
      </c>
      <c r="BI47" s="158" t="s">
        <v>76</v>
      </c>
      <c r="BJ47" s="158" t="s">
        <v>76</v>
      </c>
      <c r="BK47" s="158" t="s">
        <v>76</v>
      </c>
      <c r="BL47" s="158" t="s">
        <v>76</v>
      </c>
      <c r="BM47" s="158" t="s">
        <v>92</v>
      </c>
      <c r="BN47" s="139" t="s">
        <v>93</v>
      </c>
    </row>
    <row r="48" spans="1:66" ht="15">
      <c r="A48" s="138">
        <v>44</v>
      </c>
      <c r="B48" t="s">
        <v>67</v>
      </c>
      <c r="C48" s="139">
        <v>44868360</v>
      </c>
      <c r="D48" t="s">
        <v>510</v>
      </c>
      <c r="E48" t="s">
        <v>511</v>
      </c>
      <c r="F48" t="s">
        <v>70</v>
      </c>
      <c r="G48" t="s">
        <v>482</v>
      </c>
      <c r="H48" t="s">
        <v>512</v>
      </c>
      <c r="I48" s="158" t="s">
        <v>73</v>
      </c>
      <c r="J48" s="158" t="s">
        <v>74</v>
      </c>
      <c r="K48" t="s">
        <v>513</v>
      </c>
      <c r="L48" t="s">
        <v>76</v>
      </c>
      <c r="M48" t="s">
        <v>77</v>
      </c>
      <c r="N48" s="158" t="s">
        <v>169</v>
      </c>
      <c r="O48" s="139"/>
      <c r="P48" s="158" t="s">
        <v>80</v>
      </c>
      <c r="Q48" s="158" t="s">
        <v>81</v>
      </c>
      <c r="R48" s="158" t="s">
        <v>82</v>
      </c>
      <c r="S48" s="158" t="s">
        <v>77</v>
      </c>
      <c r="T48" s="158" t="s">
        <v>99</v>
      </c>
      <c r="U48" s="139"/>
      <c r="V48" s="158" t="s">
        <v>77</v>
      </c>
      <c r="W48" s="158" t="s">
        <v>85</v>
      </c>
      <c r="X48" s="139"/>
      <c r="Y48" s="158" t="s">
        <v>76</v>
      </c>
      <c r="Z48" s="158" t="s">
        <v>77</v>
      </c>
      <c r="AA48" s="158" t="s">
        <v>87</v>
      </c>
      <c r="AB48" s="139"/>
      <c r="AC48" s="139" t="s">
        <v>111</v>
      </c>
      <c r="AD48" s="139" t="s">
        <v>112</v>
      </c>
      <c r="AE48" s="139" t="s">
        <v>514</v>
      </c>
      <c r="AF48" s="139" t="s">
        <v>515</v>
      </c>
      <c r="AG48" s="158" t="s">
        <v>77</v>
      </c>
      <c r="AH48" s="158" t="s">
        <v>88</v>
      </c>
      <c r="AI48" s="158" t="s">
        <v>76</v>
      </c>
      <c r="AJ48" s="158" t="s">
        <v>76</v>
      </c>
      <c r="AK48" s="158" t="s">
        <v>77</v>
      </c>
      <c r="AL48" s="158" t="s">
        <v>89</v>
      </c>
      <c r="AM48" s="139"/>
      <c r="AN48" s="158" t="s">
        <v>76</v>
      </c>
      <c r="AO48" s="158" t="s">
        <v>76</v>
      </c>
      <c r="AP48" s="158" t="s">
        <v>76</v>
      </c>
      <c r="AQ48" s="158" t="s">
        <v>76</v>
      </c>
      <c r="AR48" s="158" t="s">
        <v>76</v>
      </c>
      <c r="AS48" s="158" t="s">
        <v>76</v>
      </c>
      <c r="AT48" s="158" t="s">
        <v>76</v>
      </c>
      <c r="AU48" s="158" t="s">
        <v>76</v>
      </c>
      <c r="AV48" s="158" t="s">
        <v>76</v>
      </c>
      <c r="AW48" s="158" t="s">
        <v>76</v>
      </c>
      <c r="AX48" s="158" t="s">
        <v>76</v>
      </c>
      <c r="AY48" s="158" t="s">
        <v>76</v>
      </c>
      <c r="AZ48" s="158" t="s">
        <v>76</v>
      </c>
      <c r="BA48" s="158" t="s">
        <v>76</v>
      </c>
      <c r="BB48" s="158" t="s">
        <v>76</v>
      </c>
      <c r="BC48" s="158" t="s">
        <v>76</v>
      </c>
      <c r="BD48" s="158" t="s">
        <v>76</v>
      </c>
      <c r="BE48" s="158" t="s">
        <v>76</v>
      </c>
      <c r="BF48" s="158" t="s">
        <v>76</v>
      </c>
      <c r="BG48" s="158" t="s">
        <v>76</v>
      </c>
      <c r="BH48" s="158" t="s">
        <v>76</v>
      </c>
      <c r="BI48" s="158" t="s">
        <v>76</v>
      </c>
      <c r="BJ48" s="158" t="s">
        <v>76</v>
      </c>
      <c r="BK48" s="158" t="s">
        <v>76</v>
      </c>
      <c r="BL48" s="158" t="s">
        <v>76</v>
      </c>
      <c r="BM48" s="158" t="s">
        <v>92</v>
      </c>
      <c r="BN48" s="139" t="s">
        <v>93</v>
      </c>
    </row>
    <row r="49" spans="1:66" ht="15">
      <c r="A49" s="138">
        <v>45</v>
      </c>
      <c r="B49" t="s">
        <v>67</v>
      </c>
      <c r="C49" s="139">
        <v>46142316</v>
      </c>
      <c r="D49" t="s">
        <v>516</v>
      </c>
      <c r="E49" t="s">
        <v>517</v>
      </c>
      <c r="F49" t="s">
        <v>70</v>
      </c>
      <c r="G49" t="s">
        <v>482</v>
      </c>
      <c r="H49" t="s">
        <v>518</v>
      </c>
      <c r="I49" s="158" t="s">
        <v>73</v>
      </c>
      <c r="J49" s="158" t="s">
        <v>74</v>
      </c>
      <c r="K49" t="s">
        <v>519</v>
      </c>
      <c r="L49" t="s">
        <v>76</v>
      </c>
      <c r="M49" s="139" t="s">
        <v>77</v>
      </c>
      <c r="N49" s="158" t="s">
        <v>169</v>
      </c>
      <c r="O49" s="139"/>
      <c r="P49" s="158" t="s">
        <v>80</v>
      </c>
      <c r="Q49" s="158" t="s">
        <v>81</v>
      </c>
      <c r="R49" s="158" t="s">
        <v>82</v>
      </c>
      <c r="S49" s="158" t="s">
        <v>77</v>
      </c>
      <c r="T49" s="158" t="s">
        <v>99</v>
      </c>
      <c r="U49" t="s">
        <v>520</v>
      </c>
      <c r="V49" s="158" t="s">
        <v>77</v>
      </c>
      <c r="W49" s="158" t="s">
        <v>85</v>
      </c>
      <c r="X49" t="s">
        <v>521</v>
      </c>
      <c r="Y49" s="158" t="s">
        <v>76</v>
      </c>
      <c r="Z49" s="158" t="s">
        <v>77</v>
      </c>
      <c r="AA49" s="158" t="s">
        <v>87</v>
      </c>
      <c r="AB49" s="139" t="s">
        <v>521</v>
      </c>
      <c r="AC49" s="139" t="s">
        <v>111</v>
      </c>
      <c r="AD49" s="139" t="s">
        <v>112</v>
      </c>
      <c r="AE49" s="139" t="s">
        <v>522</v>
      </c>
      <c r="AF49" s="139" t="s">
        <v>523</v>
      </c>
      <c r="AG49" s="158" t="s">
        <v>77</v>
      </c>
      <c r="AH49" s="158" t="s">
        <v>88</v>
      </c>
      <c r="AI49" s="158" t="s">
        <v>76</v>
      </c>
      <c r="AJ49" s="158" t="s">
        <v>76</v>
      </c>
      <c r="AK49" s="158" t="s">
        <v>77</v>
      </c>
      <c r="AL49" s="158" t="s">
        <v>89</v>
      </c>
      <c r="AM49" t="s">
        <v>524</v>
      </c>
      <c r="AN49" s="158" t="s">
        <v>76</v>
      </c>
      <c r="AO49" s="158" t="s">
        <v>76</v>
      </c>
      <c r="AP49" s="158" t="s">
        <v>76</v>
      </c>
      <c r="AQ49" s="158" t="s">
        <v>76</v>
      </c>
      <c r="AR49" s="158" t="s">
        <v>76</v>
      </c>
      <c r="AS49" s="158" t="s">
        <v>76</v>
      </c>
      <c r="AT49" s="158" t="s">
        <v>76</v>
      </c>
      <c r="AU49" s="158" t="s">
        <v>76</v>
      </c>
      <c r="AV49" s="158" t="s">
        <v>76</v>
      </c>
      <c r="AW49" s="158" t="s">
        <v>76</v>
      </c>
      <c r="AX49" s="158" t="s">
        <v>76</v>
      </c>
      <c r="AY49" s="158" t="s">
        <v>76</v>
      </c>
      <c r="AZ49" s="158" t="s">
        <v>76</v>
      </c>
      <c r="BA49" s="158" t="s">
        <v>76</v>
      </c>
      <c r="BB49" s="158" t="s">
        <v>76</v>
      </c>
      <c r="BC49" s="158" t="s">
        <v>76</v>
      </c>
      <c r="BD49" s="158" t="s">
        <v>76</v>
      </c>
      <c r="BE49" s="158" t="s">
        <v>76</v>
      </c>
      <c r="BF49" s="158" t="s">
        <v>76</v>
      </c>
      <c r="BG49" s="158" t="s">
        <v>76</v>
      </c>
      <c r="BH49" s="158" t="s">
        <v>76</v>
      </c>
      <c r="BI49" s="158" t="s">
        <v>76</v>
      </c>
      <c r="BJ49" s="158" t="s">
        <v>76</v>
      </c>
      <c r="BK49" s="158" t="s">
        <v>76</v>
      </c>
      <c r="BL49" s="158" t="s">
        <v>76</v>
      </c>
      <c r="BM49" s="158" t="s">
        <v>92</v>
      </c>
      <c r="BN49" s="139" t="s">
        <v>93</v>
      </c>
    </row>
  </sheetData>
  <mergeCells count="11">
    <mergeCell ref="S3:U3"/>
    <mergeCell ref="A3:H3"/>
    <mergeCell ref="I3:R3"/>
    <mergeCell ref="V3:Y3"/>
    <mergeCell ref="AS3:BL3"/>
    <mergeCell ref="BM3:BN3"/>
    <mergeCell ref="Z3:AB3"/>
    <mergeCell ref="AC3:AF3"/>
    <mergeCell ref="AG3:AJ3"/>
    <mergeCell ref="AK3:AN3"/>
    <mergeCell ref="AO3:AR3"/>
  </mergeCells>
  <conditionalFormatting sqref="AM1:AM45 AM47:AM1048576">
    <cfRule type="duplicateValues" dxfId="12" priority="8"/>
  </conditionalFormatting>
  <conditionalFormatting sqref="AE1:AE45 AE47:AE1048576">
    <cfRule type="duplicateValues" dxfId="11" priority="7"/>
  </conditionalFormatting>
  <conditionalFormatting sqref="AF1:AF45 AF47:AF1048576">
    <cfRule type="duplicateValues" dxfId="10" priority="6"/>
  </conditionalFormatting>
  <conditionalFormatting sqref="AB1:AB45 AB47:AB1048576">
    <cfRule type="duplicateValues" dxfId="9" priority="5"/>
  </conditionalFormatting>
  <conditionalFormatting sqref="X1:X45 X47:X1048576">
    <cfRule type="duplicateValues" dxfId="8" priority="4"/>
  </conditionalFormatting>
  <conditionalFormatting sqref="U1:U45 U47:U1048576">
    <cfRule type="duplicateValues" dxfId="7" priority="3"/>
  </conditionalFormatting>
  <conditionalFormatting sqref="O1:O45 O47:O1048576">
    <cfRule type="duplicateValues" dxfId="6" priority="2"/>
  </conditionalFormatting>
  <conditionalFormatting sqref="K1:K45 K47:K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showGridLines="0" workbookViewId="0"/>
  </sheetViews>
  <sheetFormatPr defaultColWidth="14.42578125" defaultRowHeight="15" customHeight="1"/>
  <cols>
    <col min="1" max="1" width="1.140625" customWidth="1"/>
    <col min="2" max="2" width="9.140625" customWidth="1"/>
    <col min="3" max="3" width="7.7109375" customWidth="1"/>
    <col min="4" max="4" width="12.42578125" customWidth="1"/>
    <col min="5" max="5" width="13" customWidth="1"/>
    <col min="6" max="6" width="10.7109375" customWidth="1"/>
    <col min="7" max="8" width="17" customWidth="1"/>
    <col min="9" max="9" width="12.42578125" customWidth="1"/>
    <col min="10" max="10" width="15.28515625" customWidth="1"/>
    <col min="11" max="11" width="16.42578125" customWidth="1"/>
    <col min="12" max="12" width="38.5703125" customWidth="1"/>
    <col min="13" max="14" width="13.7109375" customWidth="1"/>
    <col min="15" max="15" width="16.140625" customWidth="1"/>
    <col min="16" max="16" width="20.28515625" customWidth="1"/>
    <col min="17" max="17" width="13.85546875" customWidth="1"/>
    <col min="18" max="18" width="14.140625" customWidth="1"/>
    <col min="19" max="19" width="10.85546875" customWidth="1"/>
    <col min="20" max="20" width="16.140625" customWidth="1"/>
    <col min="21" max="21" width="16.42578125" customWidth="1"/>
    <col min="22" max="22" width="18.5703125" customWidth="1"/>
    <col min="23" max="23" width="19" customWidth="1"/>
    <col min="24" max="24" width="10.42578125" customWidth="1"/>
    <col min="25" max="25" width="15" customWidth="1"/>
    <col min="26" max="26" width="14.140625" customWidth="1"/>
    <col min="27" max="27" width="16" customWidth="1"/>
    <col min="28" max="28" width="18.42578125" customWidth="1"/>
    <col min="29" max="29" width="19" customWidth="1"/>
    <col min="30" max="30" width="13" customWidth="1"/>
    <col min="31" max="31" width="38.5703125" customWidth="1"/>
  </cols>
  <sheetData>
    <row r="1" spans="1:31" ht="14.45">
      <c r="A1" s="53"/>
      <c r="B1" s="54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4"/>
      <c r="Q1" s="54"/>
      <c r="R1" s="53"/>
      <c r="S1" s="55"/>
      <c r="T1" s="55"/>
      <c r="U1" s="56"/>
      <c r="V1" s="56"/>
      <c r="W1" s="53"/>
      <c r="X1" s="53"/>
      <c r="Y1" s="53"/>
      <c r="Z1" s="53"/>
      <c r="AA1" s="53"/>
      <c r="AB1" s="54"/>
      <c r="AC1" s="53"/>
      <c r="AD1" s="65"/>
      <c r="AE1" s="53"/>
    </row>
    <row r="2" spans="1:31" ht="18">
      <c r="A2" s="53"/>
      <c r="B2" s="54"/>
      <c r="C2" s="53"/>
      <c r="D2" s="238" t="s">
        <v>525</v>
      </c>
      <c r="E2" s="250"/>
      <c r="F2" s="250"/>
      <c r="G2" s="53"/>
      <c r="H2" s="53"/>
      <c r="I2" s="53"/>
      <c r="J2" s="53"/>
      <c r="K2" s="53"/>
      <c r="L2" s="53"/>
      <c r="M2" s="53"/>
      <c r="N2" s="53"/>
      <c r="O2" s="53"/>
      <c r="P2" s="54"/>
      <c r="Q2" s="54"/>
      <c r="R2" s="53"/>
      <c r="S2" s="55"/>
      <c r="T2" s="55"/>
      <c r="U2" s="55"/>
      <c r="V2" s="59"/>
      <c r="W2" s="53"/>
      <c r="X2" s="53"/>
      <c r="Y2" s="53"/>
      <c r="Z2" s="53"/>
      <c r="AA2" s="53"/>
      <c r="AB2" s="54"/>
      <c r="AC2" s="53"/>
      <c r="AD2" s="65"/>
      <c r="AE2" s="53"/>
    </row>
    <row r="3" spans="1:31" ht="14.45">
      <c r="A3" s="53"/>
      <c r="B3" s="57" t="s">
        <v>526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4"/>
      <c r="Q3" s="54"/>
      <c r="R3" s="53"/>
      <c r="S3" s="55"/>
      <c r="T3" s="55"/>
      <c r="U3" s="56"/>
      <c r="V3" s="56"/>
      <c r="W3" s="53"/>
      <c r="X3" s="53"/>
      <c r="Y3" s="53"/>
      <c r="Z3" s="53"/>
      <c r="AA3" s="53"/>
      <c r="AB3" s="54"/>
      <c r="AC3" s="53"/>
      <c r="AD3" s="65"/>
      <c r="AE3" s="53"/>
    </row>
    <row r="4" spans="1:31" ht="14.45">
      <c r="A4" s="53"/>
      <c r="B4" s="57" t="s">
        <v>527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4"/>
      <c r="Q4" s="54"/>
      <c r="R4" s="53"/>
      <c r="S4" s="55"/>
      <c r="T4" s="55"/>
      <c r="U4" s="56"/>
      <c r="V4" s="56"/>
      <c r="W4" s="53"/>
      <c r="X4" s="53"/>
      <c r="Y4" s="53"/>
      <c r="Z4" s="53"/>
      <c r="AA4" s="53"/>
      <c r="AB4" s="54"/>
      <c r="AC4" s="53"/>
      <c r="AD4" s="65"/>
      <c r="AE4" s="53"/>
    </row>
    <row r="5" spans="1:31" ht="14.45">
      <c r="A5" s="53"/>
      <c r="B5" s="53"/>
      <c r="C5" s="60">
        <v>1</v>
      </c>
      <c r="D5" s="60">
        <v>2</v>
      </c>
      <c r="E5" s="60">
        <v>3</v>
      </c>
      <c r="F5" s="60">
        <v>4</v>
      </c>
      <c r="G5" s="60">
        <v>5</v>
      </c>
      <c r="H5" s="60">
        <v>6</v>
      </c>
      <c r="I5" s="60">
        <v>7</v>
      </c>
      <c r="J5" s="60">
        <v>8</v>
      </c>
      <c r="K5" s="60">
        <v>9</v>
      </c>
      <c r="L5" s="60">
        <v>10</v>
      </c>
      <c r="M5" s="60">
        <v>11</v>
      </c>
      <c r="N5" s="60">
        <v>12</v>
      </c>
      <c r="O5" s="60">
        <v>13</v>
      </c>
      <c r="P5" s="60">
        <v>14</v>
      </c>
      <c r="Q5" s="60">
        <v>15</v>
      </c>
      <c r="R5" s="60">
        <v>16</v>
      </c>
      <c r="S5" s="60">
        <v>17</v>
      </c>
      <c r="T5" s="60">
        <v>18</v>
      </c>
      <c r="U5" s="60">
        <v>19</v>
      </c>
      <c r="V5" s="60">
        <v>20</v>
      </c>
      <c r="W5" s="60">
        <v>21</v>
      </c>
      <c r="X5" s="60">
        <v>22</v>
      </c>
      <c r="Y5" s="60">
        <v>23</v>
      </c>
      <c r="Z5" s="60">
        <v>24</v>
      </c>
      <c r="AA5" s="60">
        <v>25</v>
      </c>
      <c r="AB5" s="54"/>
      <c r="AC5" s="53"/>
      <c r="AD5" s="65"/>
      <c r="AE5" s="53"/>
    </row>
    <row r="6" spans="1:31" ht="14.45">
      <c r="A6" s="57"/>
      <c r="B6" s="79" t="s">
        <v>39</v>
      </c>
      <c r="C6" s="239" t="s">
        <v>528</v>
      </c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2"/>
      <c r="AA6" s="146"/>
      <c r="AB6" s="147"/>
      <c r="AC6" s="57"/>
      <c r="AD6" s="58"/>
      <c r="AE6" s="57"/>
    </row>
    <row r="7" spans="1:31" ht="21.75" customHeight="1">
      <c r="A7" s="53"/>
      <c r="B7" s="148" t="s">
        <v>529</v>
      </c>
      <c r="C7" s="149" t="s">
        <v>530</v>
      </c>
      <c r="D7" s="150" t="s">
        <v>531</v>
      </c>
      <c r="E7" s="150" t="s">
        <v>532</v>
      </c>
      <c r="F7" s="150" t="s">
        <v>533</v>
      </c>
      <c r="G7" s="150" t="s">
        <v>534</v>
      </c>
      <c r="H7" s="150" t="s">
        <v>535</v>
      </c>
      <c r="I7" s="150" t="s">
        <v>536</v>
      </c>
      <c r="J7" s="150" t="s">
        <v>537</v>
      </c>
      <c r="K7" s="149" t="s">
        <v>538</v>
      </c>
      <c r="L7" s="149" t="s">
        <v>539</v>
      </c>
      <c r="M7" s="150" t="s">
        <v>540</v>
      </c>
      <c r="N7" s="150" t="s">
        <v>541</v>
      </c>
      <c r="O7" s="150" t="s">
        <v>542</v>
      </c>
      <c r="P7" s="149" t="s">
        <v>543</v>
      </c>
      <c r="Q7" s="149" t="s">
        <v>544</v>
      </c>
      <c r="R7" s="150" t="s">
        <v>545</v>
      </c>
      <c r="S7" s="151" t="s">
        <v>546</v>
      </c>
      <c r="T7" s="151" t="s">
        <v>547</v>
      </c>
      <c r="U7" s="152" t="s">
        <v>548</v>
      </c>
      <c r="V7" s="152" t="s">
        <v>549</v>
      </c>
      <c r="W7" s="150" t="s">
        <v>550</v>
      </c>
      <c r="X7" s="150" t="s">
        <v>551</v>
      </c>
      <c r="Y7" s="150" t="s">
        <v>552</v>
      </c>
      <c r="Z7" s="150" t="s">
        <v>553</v>
      </c>
      <c r="AA7" s="153" t="s">
        <v>554</v>
      </c>
      <c r="AB7" s="153" t="s">
        <v>555</v>
      </c>
      <c r="AC7" s="153" t="s">
        <v>51</v>
      </c>
      <c r="AD7" s="154" t="s">
        <v>556</v>
      </c>
      <c r="AE7" s="153" t="s">
        <v>557</v>
      </c>
    </row>
    <row r="8" spans="1:31" ht="14.45" hidden="1">
      <c r="A8" s="57"/>
      <c r="B8" s="76"/>
      <c r="C8" s="68" t="s">
        <v>76</v>
      </c>
      <c r="D8" s="68" t="s">
        <v>558</v>
      </c>
      <c r="E8" s="66" t="s">
        <v>76</v>
      </c>
      <c r="F8" s="66" t="s">
        <v>76</v>
      </c>
      <c r="G8" s="66" t="s">
        <v>76</v>
      </c>
      <c r="H8" s="80" t="s">
        <v>559</v>
      </c>
      <c r="I8" s="80" t="s">
        <v>560</v>
      </c>
      <c r="J8" s="80" t="s">
        <v>561</v>
      </c>
      <c r="K8" s="66" t="s">
        <v>76</v>
      </c>
      <c r="L8" s="66" t="s">
        <v>76</v>
      </c>
      <c r="M8" s="66" t="s">
        <v>76</v>
      </c>
      <c r="N8" s="66" t="s">
        <v>76</v>
      </c>
      <c r="O8" s="66" t="s">
        <v>76</v>
      </c>
      <c r="P8" s="66" t="s">
        <v>76</v>
      </c>
      <c r="Q8" s="66" t="s">
        <v>76</v>
      </c>
      <c r="R8" s="66" t="s">
        <v>76</v>
      </c>
      <c r="S8" s="66" t="s">
        <v>76</v>
      </c>
      <c r="T8" s="66" t="s">
        <v>76</v>
      </c>
      <c r="U8" s="70">
        <f t="shared" ref="U8:U20" ca="1" si="0">IFERROR(DATEDIF(TODAY(),T8,"D"),0)</f>
        <v>0</v>
      </c>
      <c r="V8" s="69" t="str">
        <f t="shared" ref="V8:V20" ca="1" si="1">IF(U8=0,"SIN GARANTIA","CON GARANTIA")</f>
        <v>SIN GARANTIA</v>
      </c>
      <c r="W8" s="68"/>
      <c r="X8" s="81" t="str">
        <f t="shared" ref="X8:Y8" ca="1" si="2">IFERROR(DATEDIF(R8,TODAY(),"Y"),"NA")</f>
        <v>NA</v>
      </c>
      <c r="Y8" s="81" t="str">
        <f t="shared" ca="1" si="2"/>
        <v>NA</v>
      </c>
      <c r="Z8" s="68" t="s">
        <v>76</v>
      </c>
      <c r="AA8" s="82"/>
      <c r="AB8" s="83" t="s">
        <v>76</v>
      </c>
      <c r="AC8" s="84" t="s">
        <v>562</v>
      </c>
      <c r="AD8" s="85"/>
      <c r="AE8" s="74">
        <v>222</v>
      </c>
    </row>
    <row r="9" spans="1:31" ht="14.45" hidden="1">
      <c r="A9" s="63"/>
      <c r="B9" s="86"/>
      <c r="C9" s="73" t="s">
        <v>76</v>
      </c>
      <c r="D9" s="68" t="s">
        <v>558</v>
      </c>
      <c r="E9" s="75" t="s">
        <v>76</v>
      </c>
      <c r="F9" s="75" t="s">
        <v>76</v>
      </c>
      <c r="G9" s="75" t="s">
        <v>76</v>
      </c>
      <c r="H9" s="80" t="s">
        <v>559</v>
      </c>
      <c r="I9" s="80" t="s">
        <v>563</v>
      </c>
      <c r="J9" s="80" t="s">
        <v>564</v>
      </c>
      <c r="K9" s="75" t="s">
        <v>76</v>
      </c>
      <c r="L9" s="75" t="s">
        <v>76</v>
      </c>
      <c r="M9" s="75" t="s">
        <v>76</v>
      </c>
      <c r="N9" s="75" t="s">
        <v>76</v>
      </c>
      <c r="O9" s="75" t="s">
        <v>76</v>
      </c>
      <c r="P9" s="75" t="s">
        <v>76</v>
      </c>
      <c r="Q9" s="75" t="s">
        <v>76</v>
      </c>
      <c r="R9" s="75" t="s">
        <v>76</v>
      </c>
      <c r="S9" s="75" t="s">
        <v>76</v>
      </c>
      <c r="T9" s="75" t="s">
        <v>76</v>
      </c>
      <c r="U9" s="87">
        <f t="shared" ca="1" si="0"/>
        <v>0</v>
      </c>
      <c r="V9" s="74" t="str">
        <f t="shared" ca="1" si="1"/>
        <v>SIN GARANTIA</v>
      </c>
      <c r="W9" s="73"/>
      <c r="X9" s="80" t="str">
        <f t="shared" ref="X9:Y9" ca="1" si="3">IFERROR(DATEDIF(R9,TODAY(),"Y"),"NA")</f>
        <v>NA</v>
      </c>
      <c r="Y9" s="80" t="str">
        <f t="shared" ca="1" si="3"/>
        <v>NA</v>
      </c>
      <c r="Z9" s="68" t="s">
        <v>76</v>
      </c>
      <c r="AA9" s="88"/>
      <c r="AB9" s="89" t="s">
        <v>76</v>
      </c>
      <c r="AC9" s="84" t="s">
        <v>565</v>
      </c>
      <c r="AD9" s="85"/>
      <c r="AE9" s="90">
        <v>227</v>
      </c>
    </row>
    <row r="10" spans="1:31" ht="14.45" hidden="1">
      <c r="A10" s="63"/>
      <c r="B10" s="86"/>
      <c r="C10" s="73" t="s">
        <v>76</v>
      </c>
      <c r="D10" s="68" t="s">
        <v>558</v>
      </c>
      <c r="E10" s="66" t="s">
        <v>76</v>
      </c>
      <c r="F10" s="66" t="s">
        <v>76</v>
      </c>
      <c r="G10" s="66" t="s">
        <v>76</v>
      </c>
      <c r="H10" s="80" t="s">
        <v>559</v>
      </c>
      <c r="I10" s="80" t="s">
        <v>566</v>
      </c>
      <c r="J10" s="80" t="s">
        <v>567</v>
      </c>
      <c r="K10" s="66" t="s">
        <v>76</v>
      </c>
      <c r="L10" s="66" t="s">
        <v>76</v>
      </c>
      <c r="M10" s="66" t="s">
        <v>76</v>
      </c>
      <c r="N10" s="66" t="s">
        <v>76</v>
      </c>
      <c r="O10" s="66" t="s">
        <v>76</v>
      </c>
      <c r="P10" s="66" t="s">
        <v>76</v>
      </c>
      <c r="Q10" s="66" t="s">
        <v>76</v>
      </c>
      <c r="R10" s="66" t="s">
        <v>76</v>
      </c>
      <c r="S10" s="66" t="s">
        <v>76</v>
      </c>
      <c r="T10" s="66" t="s">
        <v>76</v>
      </c>
      <c r="U10" s="70">
        <f t="shared" ca="1" si="0"/>
        <v>0</v>
      </c>
      <c r="V10" s="69" t="str">
        <f t="shared" ca="1" si="1"/>
        <v>SIN GARANTIA</v>
      </c>
      <c r="W10" s="68"/>
      <c r="X10" s="81" t="str">
        <f t="shared" ref="X10:Y10" ca="1" si="4">IFERROR(DATEDIF(R10,TODAY(),"Y"),"NA")</f>
        <v>NA</v>
      </c>
      <c r="Y10" s="81" t="str">
        <f t="shared" ca="1" si="4"/>
        <v>NA</v>
      </c>
      <c r="Z10" s="68" t="s">
        <v>76</v>
      </c>
      <c r="AA10" s="88"/>
      <c r="AB10" s="89" t="s">
        <v>76</v>
      </c>
      <c r="AC10" s="88" t="s">
        <v>568</v>
      </c>
      <c r="AD10" s="91"/>
      <c r="AE10" s="90">
        <v>215</v>
      </c>
    </row>
    <row r="11" spans="1:31" ht="14.45">
      <c r="A11" s="61"/>
      <c r="B11" s="86">
        <v>101</v>
      </c>
      <c r="C11" s="68" t="s">
        <v>76</v>
      </c>
      <c r="D11" s="68" t="s">
        <v>73</v>
      </c>
      <c r="E11" s="68" t="s">
        <v>569</v>
      </c>
      <c r="F11" s="68" t="s">
        <v>570</v>
      </c>
      <c r="G11" s="68" t="s">
        <v>571</v>
      </c>
      <c r="H11" s="68" t="s">
        <v>111</v>
      </c>
      <c r="I11" s="68" t="s">
        <v>572</v>
      </c>
      <c r="J11" s="68" t="s">
        <v>573</v>
      </c>
      <c r="K11" s="69" t="s">
        <v>574</v>
      </c>
      <c r="L11" s="68" t="s">
        <v>575</v>
      </c>
      <c r="M11" s="68" t="s">
        <v>576</v>
      </c>
      <c r="N11" s="68" t="s">
        <v>82</v>
      </c>
      <c r="O11" s="68" t="s">
        <v>577</v>
      </c>
      <c r="P11" s="68" t="s">
        <v>578</v>
      </c>
      <c r="Q11" s="68" t="s">
        <v>579</v>
      </c>
      <c r="R11" s="68" t="s">
        <v>76</v>
      </c>
      <c r="S11" s="67">
        <v>44075</v>
      </c>
      <c r="T11" s="67">
        <v>45170</v>
      </c>
      <c r="U11" s="87">
        <f t="shared" ca="1" si="0"/>
        <v>0</v>
      </c>
      <c r="V11" s="92" t="str">
        <f t="shared" ca="1" si="1"/>
        <v>SIN GARANTIA</v>
      </c>
      <c r="W11" s="68" t="s">
        <v>580</v>
      </c>
      <c r="X11" s="69" t="s">
        <v>581</v>
      </c>
      <c r="Y11" s="72">
        <f t="shared" ref="Y11:Y13" ca="1" si="5">IFERROR(DATEDIF(S11,TODAY(),"Y"),"NA")</f>
        <v>5</v>
      </c>
      <c r="Z11" s="68" t="s">
        <v>76</v>
      </c>
      <c r="AA11" s="90" t="s">
        <v>582</v>
      </c>
      <c r="AB11" s="89" t="s">
        <v>76</v>
      </c>
      <c r="AC11" s="88" t="s">
        <v>72</v>
      </c>
      <c r="AD11" s="58"/>
      <c r="AE11" s="93"/>
    </row>
    <row r="12" spans="1:31" ht="14.45">
      <c r="A12" s="61"/>
      <c r="B12" s="86">
        <v>90</v>
      </c>
      <c r="C12" s="68" t="s">
        <v>76</v>
      </c>
      <c r="D12" s="68" t="s">
        <v>73</v>
      </c>
      <c r="E12" s="68" t="s">
        <v>583</v>
      </c>
      <c r="F12" s="68" t="s">
        <v>570</v>
      </c>
      <c r="G12" s="68" t="s">
        <v>571</v>
      </c>
      <c r="H12" s="68" t="s">
        <v>111</v>
      </c>
      <c r="I12" s="68" t="s">
        <v>584</v>
      </c>
      <c r="J12" s="68" t="s">
        <v>585</v>
      </c>
      <c r="K12" s="69" t="s">
        <v>574</v>
      </c>
      <c r="L12" s="68" t="s">
        <v>586</v>
      </c>
      <c r="M12" s="68" t="s">
        <v>576</v>
      </c>
      <c r="N12" s="68" t="s">
        <v>82</v>
      </c>
      <c r="O12" s="68" t="s">
        <v>577</v>
      </c>
      <c r="P12" s="68" t="s">
        <v>587</v>
      </c>
      <c r="Q12" s="68" t="s">
        <v>588</v>
      </c>
      <c r="R12" s="68" t="s">
        <v>76</v>
      </c>
      <c r="S12" s="67">
        <v>44105</v>
      </c>
      <c r="T12" s="67">
        <v>45200</v>
      </c>
      <c r="U12" s="87">
        <f t="shared" ca="1" si="0"/>
        <v>0</v>
      </c>
      <c r="V12" s="92" t="str">
        <f t="shared" ca="1" si="1"/>
        <v>SIN GARANTIA</v>
      </c>
      <c r="W12" s="73" t="s">
        <v>580</v>
      </c>
      <c r="X12" s="69" t="s">
        <v>589</v>
      </c>
      <c r="Y12" s="94">
        <f t="shared" ca="1" si="5"/>
        <v>5</v>
      </c>
      <c r="Z12" s="73" t="s">
        <v>76</v>
      </c>
      <c r="AA12" s="88" t="s">
        <v>590</v>
      </c>
      <c r="AB12" s="89" t="s">
        <v>76</v>
      </c>
      <c r="AC12" s="88" t="s">
        <v>591</v>
      </c>
      <c r="AD12" s="58"/>
      <c r="AE12" s="93"/>
    </row>
    <row r="13" spans="1:31" ht="14.45">
      <c r="A13" s="61"/>
      <c r="B13" s="76">
        <v>15</v>
      </c>
      <c r="C13" s="68" t="s">
        <v>76</v>
      </c>
      <c r="D13" s="68" t="s">
        <v>73</v>
      </c>
      <c r="E13" s="68" t="s">
        <v>592</v>
      </c>
      <c r="F13" s="68" t="s">
        <v>570</v>
      </c>
      <c r="G13" s="68" t="s">
        <v>571</v>
      </c>
      <c r="H13" s="68" t="s">
        <v>77</v>
      </c>
      <c r="I13" s="68" t="s">
        <v>593</v>
      </c>
      <c r="J13" s="68" t="s">
        <v>594</v>
      </c>
      <c r="K13" s="69" t="s">
        <v>595</v>
      </c>
      <c r="L13" s="68" t="s">
        <v>596</v>
      </c>
      <c r="M13" s="68" t="s">
        <v>597</v>
      </c>
      <c r="N13" s="68" t="s">
        <v>82</v>
      </c>
      <c r="O13" s="68" t="s">
        <v>598</v>
      </c>
      <c r="P13" s="68" t="s">
        <v>599</v>
      </c>
      <c r="Q13" s="68" t="s">
        <v>600</v>
      </c>
      <c r="R13" s="68" t="s">
        <v>76</v>
      </c>
      <c r="S13" s="67">
        <v>42156</v>
      </c>
      <c r="T13" s="67">
        <v>42556</v>
      </c>
      <c r="U13" s="70">
        <f t="shared" ca="1" si="0"/>
        <v>0</v>
      </c>
      <c r="V13" s="71" t="str">
        <f t="shared" ca="1" si="1"/>
        <v>SIN GARANTIA</v>
      </c>
      <c r="W13" s="68" t="s">
        <v>601</v>
      </c>
      <c r="X13" s="69" t="s">
        <v>76</v>
      </c>
      <c r="Y13" s="72">
        <f t="shared" ca="1" si="5"/>
        <v>10</v>
      </c>
      <c r="Z13" s="68" t="s">
        <v>76</v>
      </c>
      <c r="AA13" s="68" t="s">
        <v>602</v>
      </c>
      <c r="AB13" s="89" t="s">
        <v>603</v>
      </c>
      <c r="AC13" s="88" t="s">
        <v>604</v>
      </c>
      <c r="AD13" s="58"/>
      <c r="AE13" s="93" t="s">
        <v>605</v>
      </c>
    </row>
    <row r="14" spans="1:31" ht="14.45" hidden="1">
      <c r="A14" s="61"/>
      <c r="B14" s="86"/>
      <c r="C14" s="73" t="s">
        <v>76</v>
      </c>
      <c r="D14" s="73" t="s">
        <v>26</v>
      </c>
      <c r="E14" s="73"/>
      <c r="F14" s="73"/>
      <c r="G14" s="73"/>
      <c r="H14" s="73" t="s">
        <v>606</v>
      </c>
      <c r="I14" s="73" t="s">
        <v>607</v>
      </c>
      <c r="J14" s="73" t="s">
        <v>608</v>
      </c>
      <c r="K14" s="74"/>
      <c r="L14" s="73"/>
      <c r="M14" s="73"/>
      <c r="N14" s="73"/>
      <c r="O14" s="73"/>
      <c r="P14" s="73"/>
      <c r="Q14" s="73"/>
      <c r="R14" s="73"/>
      <c r="S14" s="95"/>
      <c r="T14" s="95"/>
      <c r="U14" s="87">
        <f t="shared" ca="1" si="0"/>
        <v>0</v>
      </c>
      <c r="V14" s="92" t="str">
        <f t="shared" ca="1" si="1"/>
        <v>SIN GARANTIA</v>
      </c>
      <c r="W14" s="73" t="s">
        <v>601</v>
      </c>
      <c r="X14" s="80"/>
      <c r="Y14" s="94"/>
      <c r="Z14" s="73"/>
      <c r="AA14" s="96"/>
      <c r="AB14" s="96"/>
      <c r="AC14" s="84"/>
      <c r="AD14" s="97"/>
      <c r="AE14" s="93" t="s">
        <v>609</v>
      </c>
    </row>
    <row r="15" spans="1:31" ht="14.45" hidden="1">
      <c r="A15" s="61"/>
      <c r="B15" s="76"/>
      <c r="C15" s="68"/>
      <c r="D15" s="68"/>
      <c r="E15" s="68"/>
      <c r="F15" s="68"/>
      <c r="G15" s="68"/>
      <c r="H15" s="68"/>
      <c r="I15" s="68"/>
      <c r="J15" s="68"/>
      <c r="K15" s="69"/>
      <c r="L15" s="68"/>
      <c r="M15" s="68"/>
      <c r="N15" s="68"/>
      <c r="O15" s="68"/>
      <c r="P15" s="68"/>
      <c r="Q15" s="68"/>
      <c r="R15" s="68"/>
      <c r="S15" s="67"/>
      <c r="T15" s="67"/>
      <c r="U15" s="70">
        <f t="shared" ca="1" si="0"/>
        <v>0</v>
      </c>
      <c r="V15" s="71" t="str">
        <f t="shared" ca="1" si="1"/>
        <v>SIN GARANTIA</v>
      </c>
      <c r="W15" s="68"/>
      <c r="X15" s="81">
        <f t="shared" ref="X15:Y15" ca="1" si="6">IFERROR(DATEDIF(R15,TODAY(),"Y"),"NA")</f>
        <v>125</v>
      </c>
      <c r="Y15" s="72">
        <f t="shared" ca="1" si="6"/>
        <v>125</v>
      </c>
      <c r="Z15" s="68"/>
      <c r="AA15" s="94"/>
      <c r="AB15" s="94"/>
      <c r="AC15" s="98"/>
      <c r="AD15" s="58"/>
      <c r="AE15" s="93"/>
    </row>
    <row r="16" spans="1:31" ht="14.45" hidden="1">
      <c r="A16" s="61"/>
      <c r="B16" s="76"/>
      <c r="C16" s="68"/>
      <c r="D16" s="68"/>
      <c r="E16" s="68"/>
      <c r="F16" s="68"/>
      <c r="G16" s="68"/>
      <c r="H16" s="68"/>
      <c r="I16" s="68"/>
      <c r="J16" s="68"/>
      <c r="K16" s="69"/>
      <c r="L16" s="68"/>
      <c r="M16" s="68"/>
      <c r="N16" s="68"/>
      <c r="O16" s="68"/>
      <c r="P16" s="68"/>
      <c r="Q16" s="68"/>
      <c r="R16" s="68"/>
      <c r="S16" s="67"/>
      <c r="T16" s="67"/>
      <c r="U16" s="70">
        <f t="shared" ca="1" si="0"/>
        <v>0</v>
      </c>
      <c r="V16" s="71" t="str">
        <f t="shared" ca="1" si="1"/>
        <v>SIN GARANTIA</v>
      </c>
      <c r="W16" s="68"/>
      <c r="X16" s="81">
        <f t="shared" ref="X16:Y16" ca="1" si="7">IFERROR(DATEDIF(R16,TODAY(),"Y"),"NA")</f>
        <v>125</v>
      </c>
      <c r="Y16" s="72">
        <f t="shared" ca="1" si="7"/>
        <v>125</v>
      </c>
      <c r="Z16" s="68"/>
      <c r="AA16" s="99"/>
      <c r="AB16" s="94"/>
      <c r="AC16" s="84"/>
      <c r="AD16" s="58"/>
      <c r="AE16" s="93"/>
    </row>
    <row r="17" spans="1:31" ht="14.45" hidden="1">
      <c r="A17" s="61"/>
      <c r="B17" s="76"/>
      <c r="C17" s="68"/>
      <c r="D17" s="68"/>
      <c r="E17" s="68"/>
      <c r="F17" s="68"/>
      <c r="G17" s="68"/>
      <c r="H17" s="68"/>
      <c r="I17" s="68"/>
      <c r="J17" s="68"/>
      <c r="K17" s="69"/>
      <c r="L17" s="68"/>
      <c r="M17" s="68"/>
      <c r="N17" s="68"/>
      <c r="O17" s="68"/>
      <c r="P17" s="68"/>
      <c r="Q17" s="68"/>
      <c r="R17" s="68"/>
      <c r="S17" s="67"/>
      <c r="T17" s="67"/>
      <c r="U17" s="70">
        <f t="shared" ca="1" si="0"/>
        <v>0</v>
      </c>
      <c r="V17" s="71" t="str">
        <f t="shared" ca="1" si="1"/>
        <v>SIN GARANTIA</v>
      </c>
      <c r="W17" s="68"/>
      <c r="X17" s="81">
        <f t="shared" ref="X17:Y17" ca="1" si="8">IFERROR(DATEDIF(R17,TODAY(),"Y"),"NA")</f>
        <v>125</v>
      </c>
      <c r="Y17" s="72">
        <f t="shared" ca="1" si="8"/>
        <v>125</v>
      </c>
      <c r="Z17" s="68"/>
      <c r="AA17" s="99"/>
      <c r="AB17" s="94"/>
      <c r="AC17" s="84"/>
      <c r="AD17" s="58"/>
      <c r="AE17" s="93"/>
    </row>
    <row r="18" spans="1:31" ht="14.45" hidden="1">
      <c r="A18" s="61"/>
      <c r="B18" s="76"/>
      <c r="C18" s="68"/>
      <c r="D18" s="68"/>
      <c r="E18" s="68"/>
      <c r="F18" s="68"/>
      <c r="G18" s="68"/>
      <c r="H18" s="68"/>
      <c r="I18" s="68"/>
      <c r="J18" s="68"/>
      <c r="K18" s="69"/>
      <c r="L18" s="68"/>
      <c r="M18" s="68"/>
      <c r="N18" s="68"/>
      <c r="O18" s="68"/>
      <c r="P18" s="68"/>
      <c r="Q18" s="68"/>
      <c r="R18" s="68"/>
      <c r="S18" s="67"/>
      <c r="T18" s="67"/>
      <c r="U18" s="70">
        <f t="shared" ca="1" si="0"/>
        <v>0</v>
      </c>
      <c r="V18" s="71" t="str">
        <f t="shared" ca="1" si="1"/>
        <v>SIN GARANTIA</v>
      </c>
      <c r="W18" s="68"/>
      <c r="X18" s="81">
        <f t="shared" ref="X18:Y18" ca="1" si="9">IFERROR(DATEDIF(R18,TODAY(),"Y"),"NA")</f>
        <v>125</v>
      </c>
      <c r="Y18" s="72">
        <f t="shared" ca="1" si="9"/>
        <v>125</v>
      </c>
      <c r="Z18" s="68"/>
      <c r="AA18" s="99"/>
      <c r="AB18" s="94"/>
      <c r="AC18" s="84"/>
      <c r="AD18" s="58"/>
      <c r="AE18" s="93"/>
    </row>
    <row r="19" spans="1:31" ht="14.45" hidden="1">
      <c r="A19" s="61"/>
      <c r="B19" s="76"/>
      <c r="C19" s="68"/>
      <c r="D19" s="68"/>
      <c r="E19" s="68"/>
      <c r="F19" s="68"/>
      <c r="G19" s="68"/>
      <c r="H19" s="68"/>
      <c r="I19" s="68"/>
      <c r="J19" s="68"/>
      <c r="K19" s="69"/>
      <c r="L19" s="68"/>
      <c r="M19" s="68"/>
      <c r="N19" s="68"/>
      <c r="O19" s="68"/>
      <c r="P19" s="68"/>
      <c r="Q19" s="68"/>
      <c r="R19" s="68"/>
      <c r="S19" s="67"/>
      <c r="T19" s="67"/>
      <c r="U19" s="70">
        <f t="shared" ca="1" si="0"/>
        <v>0</v>
      </c>
      <c r="V19" s="71" t="str">
        <f t="shared" ca="1" si="1"/>
        <v>SIN GARANTIA</v>
      </c>
      <c r="W19" s="68"/>
      <c r="X19" s="81">
        <f t="shared" ref="X19:Y19" ca="1" si="10">IFERROR(DATEDIF(R19,TODAY(),"Y"),"NA")</f>
        <v>125</v>
      </c>
      <c r="Y19" s="72">
        <f t="shared" ca="1" si="10"/>
        <v>125</v>
      </c>
      <c r="Z19" s="68"/>
      <c r="AA19" s="99"/>
      <c r="AB19" s="94"/>
      <c r="AC19" s="84"/>
      <c r="AD19" s="58"/>
      <c r="AE19" s="93"/>
    </row>
    <row r="20" spans="1:31" ht="14.45" hidden="1">
      <c r="A20" s="61"/>
      <c r="B20" s="86"/>
      <c r="C20" s="73"/>
      <c r="D20" s="73"/>
      <c r="E20" s="73"/>
      <c r="F20" s="73"/>
      <c r="G20" s="73"/>
      <c r="H20" s="73"/>
      <c r="I20" s="73"/>
      <c r="J20" s="73"/>
      <c r="K20" s="74"/>
      <c r="L20" s="73"/>
      <c r="M20" s="73"/>
      <c r="N20" s="73"/>
      <c r="O20" s="73"/>
      <c r="P20" s="73"/>
      <c r="Q20" s="73"/>
      <c r="R20" s="73"/>
      <c r="S20" s="95"/>
      <c r="T20" s="95"/>
      <c r="U20" s="87">
        <f t="shared" ca="1" si="0"/>
        <v>0</v>
      </c>
      <c r="V20" s="92" t="str">
        <f t="shared" ca="1" si="1"/>
        <v>SIN GARANTIA</v>
      </c>
      <c r="W20" s="73"/>
      <c r="X20" s="80">
        <f t="shared" ref="X20:Y20" ca="1" si="11">IFERROR(DATEDIF(R20,TODAY(),"Y"),"NA")</f>
        <v>125</v>
      </c>
      <c r="Y20" s="94">
        <f t="shared" ca="1" si="11"/>
        <v>125</v>
      </c>
      <c r="Z20" s="73"/>
      <c r="AA20" s="99"/>
      <c r="AB20" s="94"/>
      <c r="AC20" s="84"/>
      <c r="AD20" s="58"/>
      <c r="AE20" s="93"/>
    </row>
    <row r="21" spans="1:3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4"/>
      <c r="U21" s="64"/>
      <c r="V21" s="62"/>
      <c r="W21" s="61"/>
      <c r="X21" s="61"/>
      <c r="Y21" s="61"/>
      <c r="Z21" s="61"/>
      <c r="AA21" s="61"/>
      <c r="AB21" s="62"/>
      <c r="AC21" s="61"/>
      <c r="AD21" s="64"/>
      <c r="AE21" s="61"/>
    </row>
    <row r="22" spans="1:31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4"/>
      <c r="U22" s="64"/>
      <c r="V22" s="62"/>
      <c r="W22" s="61"/>
      <c r="X22" s="61"/>
      <c r="Y22" s="61"/>
      <c r="Z22" s="61"/>
      <c r="AA22" s="61"/>
      <c r="AB22" s="62"/>
      <c r="AC22" s="61"/>
      <c r="AD22" s="64"/>
      <c r="AE22" s="61"/>
    </row>
    <row r="23" spans="1:31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4"/>
      <c r="U23" s="64"/>
      <c r="V23" s="62"/>
      <c r="W23" s="61"/>
      <c r="X23" s="61"/>
      <c r="Y23" s="61"/>
      <c r="Z23" s="61"/>
      <c r="AA23" s="61"/>
      <c r="AB23" s="62"/>
      <c r="AC23" s="61"/>
      <c r="AD23" s="64"/>
      <c r="AE23" s="61"/>
    </row>
    <row r="24" spans="1:31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4"/>
      <c r="U24" s="64"/>
      <c r="V24" s="62"/>
      <c r="W24" s="61"/>
      <c r="X24" s="61"/>
      <c r="Y24" s="61"/>
      <c r="Z24" s="61"/>
      <c r="AA24" s="61"/>
      <c r="AB24" s="62"/>
      <c r="AC24" s="61"/>
      <c r="AD24" s="64"/>
      <c r="AE24" s="61"/>
    </row>
    <row r="25" spans="1:31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4"/>
      <c r="U25" s="64"/>
      <c r="V25" s="62"/>
      <c r="W25" s="61"/>
      <c r="X25" s="61"/>
      <c r="Y25" s="61"/>
      <c r="Z25" s="61"/>
      <c r="AA25" s="61"/>
      <c r="AB25" s="62"/>
      <c r="AC25" s="61"/>
      <c r="AD25" s="64"/>
      <c r="AE25" s="61"/>
    </row>
    <row r="26" spans="1:31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4"/>
      <c r="U26" s="64"/>
      <c r="V26" s="62"/>
      <c r="W26" s="61"/>
      <c r="X26" s="61"/>
      <c r="Y26" s="61"/>
      <c r="Z26" s="61"/>
      <c r="AA26" s="61"/>
      <c r="AB26" s="62"/>
      <c r="AC26" s="61"/>
      <c r="AD26" s="64"/>
      <c r="AE26" s="61"/>
    </row>
    <row r="27" spans="1:31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4"/>
      <c r="U27" s="64"/>
      <c r="V27" s="62"/>
      <c r="W27" s="61"/>
      <c r="X27" s="61"/>
      <c r="Y27" s="61"/>
      <c r="Z27" s="61"/>
      <c r="AA27" s="61"/>
      <c r="AB27" s="62"/>
      <c r="AC27" s="61"/>
      <c r="AD27" s="64"/>
      <c r="AE27" s="61"/>
    </row>
    <row r="28" spans="1:31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4"/>
      <c r="U28" s="64"/>
      <c r="V28" s="62"/>
      <c r="W28" s="61"/>
      <c r="X28" s="61"/>
      <c r="Y28" s="61"/>
      <c r="Z28" s="61"/>
      <c r="AA28" s="61"/>
      <c r="AB28" s="62"/>
      <c r="AC28" s="61"/>
      <c r="AD28" s="64"/>
      <c r="AE28" s="61"/>
    </row>
    <row r="29" spans="1:31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4"/>
      <c r="U29" s="64"/>
      <c r="V29" s="62"/>
      <c r="W29" s="61"/>
      <c r="X29" s="61"/>
      <c r="Y29" s="61"/>
      <c r="Z29" s="61"/>
      <c r="AA29" s="61"/>
      <c r="AB29" s="62"/>
      <c r="AC29" s="61"/>
      <c r="AD29" s="64"/>
      <c r="AE29" s="61"/>
    </row>
    <row r="30" spans="1:31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4"/>
      <c r="U30" s="64"/>
      <c r="V30" s="62"/>
      <c r="W30" s="61"/>
      <c r="X30" s="61"/>
      <c r="Y30" s="61"/>
      <c r="Z30" s="61"/>
      <c r="AA30" s="61"/>
      <c r="AB30" s="62"/>
      <c r="AC30" s="61"/>
      <c r="AD30" s="64"/>
      <c r="AE30" s="61"/>
    </row>
    <row r="31" spans="1: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4"/>
      <c r="U31" s="64"/>
      <c r="V31" s="62"/>
      <c r="W31" s="61"/>
      <c r="X31" s="61"/>
      <c r="Y31" s="61"/>
      <c r="Z31" s="61"/>
      <c r="AA31" s="61"/>
      <c r="AB31" s="62"/>
      <c r="AC31" s="61"/>
      <c r="AD31" s="64"/>
      <c r="AE31" s="61"/>
    </row>
    <row r="32" spans="1:31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4"/>
      <c r="U32" s="64"/>
      <c r="V32" s="62"/>
      <c r="W32" s="61"/>
      <c r="X32" s="61"/>
      <c r="Y32" s="61"/>
      <c r="Z32" s="61"/>
      <c r="AA32" s="61"/>
      <c r="AB32" s="62"/>
      <c r="AC32" s="61"/>
      <c r="AD32" s="64"/>
      <c r="AE32" s="61"/>
    </row>
    <row r="33" spans="1:31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4"/>
      <c r="U33" s="64"/>
      <c r="V33" s="62"/>
      <c r="W33" s="61"/>
      <c r="X33" s="61"/>
      <c r="Y33" s="61"/>
      <c r="Z33" s="61"/>
      <c r="AA33" s="61"/>
      <c r="AB33" s="62"/>
      <c r="AC33" s="61"/>
      <c r="AD33" s="64"/>
      <c r="AE33" s="61"/>
    </row>
    <row r="34" spans="1:31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4"/>
      <c r="U34" s="64"/>
      <c r="V34" s="62"/>
      <c r="W34" s="61"/>
      <c r="X34" s="61"/>
      <c r="Y34" s="61"/>
      <c r="Z34" s="61"/>
      <c r="AA34" s="61"/>
      <c r="AB34" s="62"/>
      <c r="AC34" s="61"/>
      <c r="AD34" s="64"/>
      <c r="AE34" s="61"/>
    </row>
    <row r="35" spans="1:31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4"/>
      <c r="U35" s="64"/>
      <c r="V35" s="62"/>
      <c r="W35" s="61"/>
      <c r="X35" s="61"/>
      <c r="Y35" s="61"/>
      <c r="Z35" s="61"/>
      <c r="AA35" s="61"/>
      <c r="AB35" s="62"/>
      <c r="AC35" s="61"/>
      <c r="AD35" s="64"/>
      <c r="AE35" s="61"/>
    </row>
    <row r="36" spans="1:31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4"/>
      <c r="U36" s="64"/>
      <c r="V36" s="62"/>
      <c r="W36" s="61"/>
      <c r="X36" s="61"/>
      <c r="Y36" s="61"/>
      <c r="Z36" s="61"/>
      <c r="AA36" s="61"/>
      <c r="AB36" s="62"/>
      <c r="AC36" s="61"/>
      <c r="AD36" s="64"/>
      <c r="AE36" s="61"/>
    </row>
    <row r="37" spans="1:31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4"/>
      <c r="U37" s="64"/>
      <c r="V37" s="62"/>
      <c r="W37" s="61"/>
      <c r="X37" s="61"/>
      <c r="Y37" s="61"/>
      <c r="Z37" s="61"/>
      <c r="AA37" s="61"/>
      <c r="AB37" s="62"/>
      <c r="AC37" s="61"/>
      <c r="AD37" s="64"/>
      <c r="AE37" s="61"/>
    </row>
    <row r="38" spans="1:31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4"/>
      <c r="U38" s="64"/>
      <c r="V38" s="62"/>
      <c r="W38" s="61"/>
      <c r="X38" s="61"/>
      <c r="Y38" s="61"/>
      <c r="Z38" s="61"/>
      <c r="AA38" s="61"/>
      <c r="AB38" s="62"/>
      <c r="AC38" s="61"/>
      <c r="AD38" s="64"/>
      <c r="AE38" s="61"/>
    </row>
    <row r="39" spans="1:31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4"/>
      <c r="U39" s="64"/>
      <c r="V39" s="62"/>
      <c r="W39" s="61"/>
      <c r="X39" s="61"/>
      <c r="Y39" s="61"/>
      <c r="Z39" s="61"/>
      <c r="AA39" s="61"/>
      <c r="AB39" s="62"/>
      <c r="AC39" s="61"/>
      <c r="AD39" s="64"/>
      <c r="AE39" s="61"/>
    </row>
    <row r="40" spans="1:31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4"/>
      <c r="U40" s="64"/>
      <c r="V40" s="62"/>
      <c r="W40" s="61"/>
      <c r="X40" s="61"/>
      <c r="Y40" s="61"/>
      <c r="Z40" s="61"/>
      <c r="AA40" s="61"/>
      <c r="AB40" s="62"/>
      <c r="AC40" s="61"/>
      <c r="AD40" s="64"/>
      <c r="AE40" s="61"/>
    </row>
    <row r="41" spans="1:3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4"/>
      <c r="U41" s="64"/>
      <c r="V41" s="62"/>
      <c r="W41" s="61"/>
      <c r="X41" s="61"/>
      <c r="Y41" s="61"/>
      <c r="Z41" s="61"/>
      <c r="AA41" s="61"/>
      <c r="AB41" s="62"/>
      <c r="AC41" s="61"/>
      <c r="AD41" s="64"/>
      <c r="AE41" s="61"/>
    </row>
    <row r="42" spans="1:31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4"/>
      <c r="U42" s="64"/>
      <c r="V42" s="62"/>
      <c r="W42" s="61"/>
      <c r="X42" s="61"/>
      <c r="Y42" s="61"/>
      <c r="Z42" s="61"/>
      <c r="AA42" s="61"/>
      <c r="AB42" s="62"/>
      <c r="AC42" s="61"/>
      <c r="AD42" s="64"/>
      <c r="AE42" s="61"/>
    </row>
    <row r="43" spans="1:31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4"/>
      <c r="U43" s="64"/>
      <c r="V43" s="62"/>
      <c r="W43" s="61"/>
      <c r="X43" s="61"/>
      <c r="Y43" s="61"/>
      <c r="Z43" s="61"/>
      <c r="AA43" s="61"/>
      <c r="AB43" s="62"/>
      <c r="AC43" s="61"/>
      <c r="AD43" s="64"/>
      <c r="AE43" s="61"/>
    </row>
    <row r="44" spans="1:31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4"/>
      <c r="U44" s="64"/>
      <c r="V44" s="62"/>
      <c r="W44" s="61"/>
      <c r="X44" s="61"/>
      <c r="Y44" s="61"/>
      <c r="Z44" s="61"/>
      <c r="AA44" s="61"/>
      <c r="AB44" s="62"/>
      <c r="AC44" s="61"/>
      <c r="AD44" s="64"/>
      <c r="AE44" s="61"/>
    </row>
    <row r="45" spans="1:31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4"/>
      <c r="U45" s="64"/>
      <c r="V45" s="62"/>
      <c r="W45" s="61"/>
      <c r="X45" s="61"/>
      <c r="Y45" s="61"/>
      <c r="Z45" s="61"/>
      <c r="AA45" s="61"/>
      <c r="AB45" s="62"/>
      <c r="AC45" s="61"/>
      <c r="AD45" s="64"/>
      <c r="AE45" s="61"/>
    </row>
    <row r="46" spans="1:31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4"/>
      <c r="U46" s="64"/>
      <c r="V46" s="62"/>
      <c r="W46" s="61"/>
      <c r="X46" s="61"/>
      <c r="Y46" s="61"/>
      <c r="Z46" s="61"/>
      <c r="AA46" s="61"/>
      <c r="AB46" s="62"/>
      <c r="AC46" s="61"/>
      <c r="AD46" s="64"/>
      <c r="AE46" s="61"/>
    </row>
    <row r="47" spans="1:31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4"/>
      <c r="U47" s="64"/>
      <c r="V47" s="62"/>
      <c r="W47" s="61"/>
      <c r="X47" s="61"/>
      <c r="Y47" s="61"/>
      <c r="Z47" s="61"/>
      <c r="AA47" s="61"/>
      <c r="AB47" s="62"/>
      <c r="AC47" s="61"/>
      <c r="AD47" s="64"/>
      <c r="AE47" s="61"/>
    </row>
    <row r="48" spans="1:31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4"/>
      <c r="U48" s="64"/>
      <c r="V48" s="62"/>
      <c r="W48" s="61"/>
      <c r="X48" s="61"/>
      <c r="Y48" s="61"/>
      <c r="Z48" s="61"/>
      <c r="AA48" s="61"/>
      <c r="AB48" s="62"/>
      <c r="AC48" s="61"/>
      <c r="AD48" s="64"/>
      <c r="AE48" s="61"/>
    </row>
    <row r="49" spans="1:31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4"/>
      <c r="U49" s="64"/>
      <c r="V49" s="62"/>
      <c r="W49" s="61"/>
      <c r="X49" s="61"/>
      <c r="Y49" s="61"/>
      <c r="Z49" s="61"/>
      <c r="AA49" s="61"/>
      <c r="AB49" s="62"/>
      <c r="AC49" s="61"/>
      <c r="AD49" s="64"/>
      <c r="AE49" s="61"/>
    </row>
    <row r="50" spans="1:31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4"/>
      <c r="U50" s="64"/>
      <c r="V50" s="62"/>
      <c r="W50" s="61"/>
      <c r="X50" s="61"/>
      <c r="Y50" s="61"/>
      <c r="Z50" s="61"/>
      <c r="AA50" s="61"/>
      <c r="AB50" s="62"/>
      <c r="AC50" s="61"/>
      <c r="AD50" s="64"/>
      <c r="AE50" s="61"/>
    </row>
    <row r="51" spans="1:3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4"/>
      <c r="U51" s="64"/>
      <c r="V51" s="62"/>
      <c r="W51" s="61"/>
      <c r="X51" s="61"/>
      <c r="Y51" s="61"/>
      <c r="Z51" s="61"/>
      <c r="AA51" s="61"/>
      <c r="AB51" s="62"/>
      <c r="AC51" s="61"/>
      <c r="AD51" s="64"/>
      <c r="AE51" s="61"/>
    </row>
    <row r="52" spans="1:31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4"/>
      <c r="U52" s="64"/>
      <c r="V52" s="62"/>
      <c r="W52" s="61"/>
      <c r="X52" s="61"/>
      <c r="Y52" s="61"/>
      <c r="Z52" s="61"/>
      <c r="AA52" s="61"/>
      <c r="AB52" s="62"/>
      <c r="AC52" s="61"/>
      <c r="AD52" s="64"/>
      <c r="AE52" s="61"/>
    </row>
    <row r="53" spans="1:31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4"/>
      <c r="U53" s="64"/>
      <c r="V53" s="62"/>
      <c r="W53" s="61"/>
      <c r="X53" s="61"/>
      <c r="Y53" s="61"/>
      <c r="Z53" s="61"/>
      <c r="AA53" s="61"/>
      <c r="AB53" s="62"/>
      <c r="AC53" s="61"/>
      <c r="AD53" s="64"/>
      <c r="AE53" s="61"/>
    </row>
    <row r="54" spans="1:31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4"/>
      <c r="U54" s="64"/>
      <c r="V54" s="62"/>
      <c r="W54" s="61"/>
      <c r="X54" s="61"/>
      <c r="Y54" s="61"/>
      <c r="Z54" s="61"/>
      <c r="AA54" s="61"/>
      <c r="AB54" s="62"/>
      <c r="AC54" s="61"/>
      <c r="AD54" s="64"/>
      <c r="AE54" s="61"/>
    </row>
    <row r="55" spans="1:31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4"/>
      <c r="U55" s="64"/>
      <c r="V55" s="62"/>
      <c r="W55" s="61"/>
      <c r="X55" s="61"/>
      <c r="Y55" s="61"/>
      <c r="Z55" s="61"/>
      <c r="AA55" s="61"/>
      <c r="AB55" s="62"/>
      <c r="AC55" s="61"/>
      <c r="AD55" s="64"/>
      <c r="AE55" s="61"/>
    </row>
    <row r="56" spans="1:31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4"/>
      <c r="U56" s="64"/>
      <c r="V56" s="62"/>
      <c r="W56" s="61"/>
      <c r="X56" s="61"/>
      <c r="Y56" s="61"/>
      <c r="Z56" s="61"/>
      <c r="AA56" s="61"/>
      <c r="AB56" s="62"/>
      <c r="AC56" s="61"/>
      <c r="AD56" s="64"/>
      <c r="AE56" s="61"/>
    </row>
    <row r="57" spans="1:31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4"/>
      <c r="U57" s="64"/>
      <c r="V57" s="62"/>
      <c r="W57" s="61"/>
      <c r="X57" s="61"/>
      <c r="Y57" s="61"/>
      <c r="Z57" s="61"/>
      <c r="AA57" s="61"/>
      <c r="AB57" s="62"/>
      <c r="AC57" s="61"/>
      <c r="AD57" s="64"/>
      <c r="AE57" s="61"/>
    </row>
    <row r="58" spans="1:31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4"/>
      <c r="U58" s="64"/>
      <c r="V58" s="62"/>
      <c r="W58" s="61"/>
      <c r="X58" s="61"/>
      <c r="Y58" s="61"/>
      <c r="Z58" s="61"/>
      <c r="AA58" s="61"/>
      <c r="AB58" s="62"/>
      <c r="AC58" s="61"/>
      <c r="AD58" s="64"/>
      <c r="AE58" s="61"/>
    </row>
    <row r="59" spans="1:31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4"/>
      <c r="U59" s="64"/>
      <c r="V59" s="62"/>
      <c r="W59" s="61"/>
      <c r="X59" s="61"/>
      <c r="Y59" s="61"/>
      <c r="Z59" s="61"/>
      <c r="AA59" s="61"/>
      <c r="AB59" s="62"/>
      <c r="AC59" s="61"/>
      <c r="AD59" s="64"/>
      <c r="AE59" s="61"/>
    </row>
    <row r="60" spans="1:31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4"/>
      <c r="U60" s="64"/>
      <c r="V60" s="62"/>
      <c r="W60" s="61"/>
      <c r="X60" s="61"/>
      <c r="Y60" s="61"/>
      <c r="Z60" s="61"/>
      <c r="AA60" s="61"/>
      <c r="AB60" s="62"/>
      <c r="AC60" s="61"/>
      <c r="AD60" s="64"/>
      <c r="AE60" s="61"/>
    </row>
    <row r="61" spans="1:3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4"/>
      <c r="U61" s="64"/>
      <c r="V61" s="62"/>
      <c r="W61" s="61"/>
      <c r="X61" s="61"/>
      <c r="Y61" s="61"/>
      <c r="Z61" s="61"/>
      <c r="AA61" s="61"/>
      <c r="AB61" s="62"/>
      <c r="AC61" s="61"/>
      <c r="AD61" s="64"/>
      <c r="AE61" s="61"/>
    </row>
    <row r="62" spans="1:31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4"/>
      <c r="U62" s="64"/>
      <c r="V62" s="62"/>
      <c r="W62" s="61"/>
      <c r="X62" s="61"/>
      <c r="Y62" s="61"/>
      <c r="Z62" s="61"/>
      <c r="AA62" s="61"/>
      <c r="AB62" s="62"/>
      <c r="AC62" s="61"/>
      <c r="AD62" s="64"/>
      <c r="AE62" s="61"/>
    </row>
    <row r="63" spans="1:31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4"/>
      <c r="U63" s="64"/>
      <c r="V63" s="62"/>
      <c r="W63" s="61"/>
      <c r="X63" s="61"/>
      <c r="Y63" s="61"/>
      <c r="Z63" s="61"/>
      <c r="AA63" s="61"/>
      <c r="AB63" s="62"/>
      <c r="AC63" s="61"/>
      <c r="AD63" s="64"/>
      <c r="AE63" s="61"/>
    </row>
    <row r="64" spans="1:31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4"/>
      <c r="U64" s="64"/>
      <c r="V64" s="62"/>
      <c r="W64" s="61"/>
      <c r="X64" s="61"/>
      <c r="Y64" s="61"/>
      <c r="Z64" s="61"/>
      <c r="AA64" s="61"/>
      <c r="AB64" s="62"/>
      <c r="AC64" s="61"/>
      <c r="AD64" s="64"/>
      <c r="AE64" s="61"/>
    </row>
    <row r="65" spans="1:31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4"/>
      <c r="U65" s="64"/>
      <c r="V65" s="62"/>
      <c r="W65" s="61"/>
      <c r="X65" s="61"/>
      <c r="Y65" s="61"/>
      <c r="Z65" s="61"/>
      <c r="AA65" s="61"/>
      <c r="AB65" s="62"/>
      <c r="AC65" s="61"/>
      <c r="AD65" s="64"/>
      <c r="AE65" s="61"/>
    </row>
    <row r="66" spans="1:31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4"/>
      <c r="U66" s="64"/>
      <c r="V66" s="62"/>
      <c r="W66" s="61"/>
      <c r="X66" s="61"/>
      <c r="Y66" s="61"/>
      <c r="Z66" s="61"/>
      <c r="AA66" s="61"/>
      <c r="AB66" s="62"/>
      <c r="AC66" s="61"/>
      <c r="AD66" s="64"/>
      <c r="AE66" s="61"/>
    </row>
    <row r="67" spans="1:31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4"/>
      <c r="U67" s="64"/>
      <c r="V67" s="62"/>
      <c r="W67" s="61"/>
      <c r="X67" s="61"/>
      <c r="Y67" s="61"/>
      <c r="Z67" s="61"/>
      <c r="AA67" s="61"/>
      <c r="AB67" s="62"/>
      <c r="AC67" s="61"/>
      <c r="AD67" s="64"/>
      <c r="AE67" s="61"/>
    </row>
    <row r="68" spans="1:31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4"/>
      <c r="U68" s="64"/>
      <c r="V68" s="62"/>
      <c r="W68" s="61"/>
      <c r="X68" s="61"/>
      <c r="Y68" s="61"/>
      <c r="Z68" s="61"/>
      <c r="AA68" s="61"/>
      <c r="AB68" s="62"/>
      <c r="AC68" s="61"/>
      <c r="AD68" s="64"/>
      <c r="AE68" s="61"/>
    </row>
    <row r="69" spans="1:31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4"/>
      <c r="U69" s="64"/>
      <c r="V69" s="62"/>
      <c r="W69" s="61"/>
      <c r="X69" s="61"/>
      <c r="Y69" s="61"/>
      <c r="Z69" s="61"/>
      <c r="AA69" s="61"/>
      <c r="AB69" s="62"/>
      <c r="AC69" s="61"/>
      <c r="AD69" s="64"/>
      <c r="AE69" s="61"/>
    </row>
    <row r="70" spans="1:31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4"/>
      <c r="U70" s="64"/>
      <c r="V70" s="62"/>
      <c r="W70" s="61"/>
      <c r="X70" s="61"/>
      <c r="Y70" s="61"/>
      <c r="Z70" s="61"/>
      <c r="AA70" s="61"/>
      <c r="AB70" s="62"/>
      <c r="AC70" s="61"/>
      <c r="AD70" s="64"/>
      <c r="AE70" s="61"/>
    </row>
    <row r="71" spans="1:3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4"/>
      <c r="U71" s="64"/>
      <c r="V71" s="62"/>
      <c r="W71" s="61"/>
      <c r="X71" s="61"/>
      <c r="Y71" s="61"/>
      <c r="Z71" s="61"/>
      <c r="AA71" s="61"/>
      <c r="AB71" s="62"/>
      <c r="AC71" s="61"/>
      <c r="AD71" s="64"/>
      <c r="AE71" s="61"/>
    </row>
    <row r="72" spans="1:31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4"/>
      <c r="U72" s="64"/>
      <c r="V72" s="62"/>
      <c r="W72" s="61"/>
      <c r="X72" s="61"/>
      <c r="Y72" s="61"/>
      <c r="Z72" s="61"/>
      <c r="AA72" s="61"/>
      <c r="AB72" s="62"/>
      <c r="AC72" s="61"/>
      <c r="AD72" s="64"/>
      <c r="AE72" s="61"/>
    </row>
    <row r="73" spans="1:31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4"/>
      <c r="U73" s="64"/>
      <c r="V73" s="62"/>
      <c r="W73" s="61"/>
      <c r="X73" s="61"/>
      <c r="Y73" s="61"/>
      <c r="Z73" s="61"/>
      <c r="AA73" s="61"/>
      <c r="AB73" s="62"/>
      <c r="AC73" s="61"/>
      <c r="AD73" s="64"/>
      <c r="AE73" s="61"/>
    </row>
    <row r="74" spans="1:31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4"/>
      <c r="U74" s="64"/>
      <c r="V74" s="62"/>
      <c r="W74" s="61"/>
      <c r="X74" s="61"/>
      <c r="Y74" s="61"/>
      <c r="Z74" s="61"/>
      <c r="AA74" s="61"/>
      <c r="AB74" s="62"/>
      <c r="AC74" s="61"/>
      <c r="AD74" s="64"/>
      <c r="AE74" s="61"/>
    </row>
    <row r="75" spans="1:31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4"/>
      <c r="U75" s="64"/>
      <c r="V75" s="62"/>
      <c r="W75" s="61"/>
      <c r="X75" s="61"/>
      <c r="Y75" s="61"/>
      <c r="Z75" s="61"/>
      <c r="AA75" s="61"/>
      <c r="AB75" s="62"/>
      <c r="AC75" s="61"/>
      <c r="AD75" s="64"/>
      <c r="AE75" s="61"/>
    </row>
    <row r="76" spans="1:31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4"/>
      <c r="U76" s="64"/>
      <c r="V76" s="62"/>
      <c r="W76" s="61"/>
      <c r="X76" s="61"/>
      <c r="Y76" s="61"/>
      <c r="Z76" s="61"/>
      <c r="AA76" s="61"/>
      <c r="AB76" s="62"/>
      <c r="AC76" s="61"/>
      <c r="AD76" s="64"/>
      <c r="AE76" s="61"/>
    </row>
    <row r="77" spans="1:31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4"/>
      <c r="U77" s="64"/>
      <c r="V77" s="62"/>
      <c r="W77" s="61"/>
      <c r="X77" s="61"/>
      <c r="Y77" s="61"/>
      <c r="Z77" s="61"/>
      <c r="AA77" s="61"/>
      <c r="AB77" s="62"/>
      <c r="AC77" s="61"/>
      <c r="AD77" s="64"/>
      <c r="AE77" s="61"/>
    </row>
    <row r="78" spans="1:31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4"/>
      <c r="U78" s="64"/>
      <c r="V78" s="62"/>
      <c r="W78" s="61"/>
      <c r="X78" s="61"/>
      <c r="Y78" s="61"/>
      <c r="Z78" s="61"/>
      <c r="AA78" s="61"/>
      <c r="AB78" s="62"/>
      <c r="AC78" s="61"/>
      <c r="AD78" s="64"/>
      <c r="AE78" s="61"/>
    </row>
    <row r="79" spans="1:31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4"/>
      <c r="U79" s="64"/>
      <c r="V79" s="62"/>
      <c r="W79" s="61"/>
      <c r="X79" s="61"/>
      <c r="Y79" s="61"/>
      <c r="Z79" s="61"/>
      <c r="AA79" s="61"/>
      <c r="AB79" s="62"/>
      <c r="AC79" s="61"/>
      <c r="AD79" s="64"/>
      <c r="AE79" s="61"/>
    </row>
    <row r="80" spans="1:31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4"/>
      <c r="U80" s="64"/>
      <c r="V80" s="62"/>
      <c r="W80" s="61"/>
      <c r="X80" s="61"/>
      <c r="Y80" s="61"/>
      <c r="Z80" s="61"/>
      <c r="AA80" s="61"/>
      <c r="AB80" s="62"/>
      <c r="AC80" s="61"/>
      <c r="AD80" s="64"/>
      <c r="AE80" s="61"/>
    </row>
    <row r="81" spans="1:3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4"/>
      <c r="U81" s="64"/>
      <c r="V81" s="62"/>
      <c r="W81" s="61"/>
      <c r="X81" s="61"/>
      <c r="Y81" s="61"/>
      <c r="Z81" s="61"/>
      <c r="AA81" s="61"/>
      <c r="AB81" s="62"/>
      <c r="AC81" s="61"/>
      <c r="AD81" s="64"/>
      <c r="AE81" s="61"/>
    </row>
    <row r="82" spans="1:31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4"/>
      <c r="U82" s="64"/>
      <c r="V82" s="62"/>
      <c r="W82" s="61"/>
      <c r="X82" s="61"/>
      <c r="Y82" s="61"/>
      <c r="Z82" s="61"/>
      <c r="AA82" s="61"/>
      <c r="AB82" s="62"/>
      <c r="AC82" s="61"/>
      <c r="AD82" s="64"/>
      <c r="AE82" s="61"/>
    </row>
    <row r="83" spans="1:31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4"/>
      <c r="U83" s="64"/>
      <c r="V83" s="62"/>
      <c r="W83" s="61"/>
      <c r="X83" s="61"/>
      <c r="Y83" s="61"/>
      <c r="Z83" s="61"/>
      <c r="AA83" s="61"/>
      <c r="AB83" s="62"/>
      <c r="AC83" s="61"/>
      <c r="AD83" s="64"/>
      <c r="AE83" s="61"/>
    </row>
    <row r="84" spans="1:31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4"/>
      <c r="U84" s="64"/>
      <c r="V84" s="62"/>
      <c r="W84" s="61"/>
      <c r="X84" s="61"/>
      <c r="Y84" s="61"/>
      <c r="Z84" s="61"/>
      <c r="AA84" s="61"/>
      <c r="AB84" s="62"/>
      <c r="AC84" s="61"/>
      <c r="AD84" s="64"/>
      <c r="AE84" s="61"/>
    </row>
    <row r="85" spans="1:31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4"/>
      <c r="U85" s="64"/>
      <c r="V85" s="62"/>
      <c r="W85" s="61"/>
      <c r="X85" s="61"/>
      <c r="Y85" s="61"/>
      <c r="Z85" s="61"/>
      <c r="AA85" s="61"/>
      <c r="AB85" s="62"/>
      <c r="AC85" s="61"/>
      <c r="AD85" s="64"/>
      <c r="AE85" s="61"/>
    </row>
    <row r="86" spans="1:31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4"/>
      <c r="U86" s="64"/>
      <c r="V86" s="62"/>
      <c r="W86" s="61"/>
      <c r="X86" s="61"/>
      <c r="Y86" s="61"/>
      <c r="Z86" s="61"/>
      <c r="AA86" s="61"/>
      <c r="AB86" s="62"/>
      <c r="AC86" s="61"/>
      <c r="AD86" s="64"/>
      <c r="AE86" s="61"/>
    </row>
    <row r="87" spans="1:31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4"/>
      <c r="U87" s="64"/>
      <c r="V87" s="62"/>
      <c r="W87" s="61"/>
      <c r="X87" s="61"/>
      <c r="Y87" s="61"/>
      <c r="Z87" s="61"/>
      <c r="AA87" s="61"/>
      <c r="AB87" s="62"/>
      <c r="AC87" s="61"/>
      <c r="AD87" s="64"/>
      <c r="AE87" s="61"/>
    </row>
    <row r="88" spans="1:31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4"/>
      <c r="U88" s="64"/>
      <c r="V88" s="62"/>
      <c r="W88" s="61"/>
      <c r="X88" s="61"/>
      <c r="Y88" s="61"/>
      <c r="Z88" s="61"/>
      <c r="AA88" s="61"/>
      <c r="AB88" s="62"/>
      <c r="AC88" s="61"/>
      <c r="AD88" s="64"/>
      <c r="AE88" s="61"/>
    </row>
    <row r="89" spans="1:31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4"/>
      <c r="U89" s="64"/>
      <c r="V89" s="62"/>
      <c r="W89" s="61"/>
      <c r="X89" s="61"/>
      <c r="Y89" s="61"/>
      <c r="Z89" s="61"/>
      <c r="AA89" s="61"/>
      <c r="AB89" s="62"/>
      <c r="AC89" s="61"/>
      <c r="AD89" s="64"/>
      <c r="AE89" s="61"/>
    </row>
    <row r="90" spans="1:31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4"/>
      <c r="U90" s="64"/>
      <c r="V90" s="62"/>
      <c r="W90" s="61"/>
      <c r="X90" s="61"/>
      <c r="Y90" s="61"/>
      <c r="Z90" s="61"/>
      <c r="AA90" s="61"/>
      <c r="AB90" s="62"/>
      <c r="AC90" s="61"/>
      <c r="AD90" s="64"/>
      <c r="AE90" s="61"/>
    </row>
    <row r="91" spans="1:3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4"/>
      <c r="U91" s="64"/>
      <c r="V91" s="62"/>
      <c r="W91" s="61"/>
      <c r="X91" s="61"/>
      <c r="Y91" s="61"/>
      <c r="Z91" s="61"/>
      <c r="AA91" s="61"/>
      <c r="AB91" s="62"/>
      <c r="AC91" s="61"/>
      <c r="AD91" s="64"/>
      <c r="AE91" s="61"/>
    </row>
    <row r="92" spans="1:31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4"/>
      <c r="U92" s="64"/>
      <c r="V92" s="62"/>
      <c r="W92" s="61"/>
      <c r="X92" s="61"/>
      <c r="Y92" s="61"/>
      <c r="Z92" s="61"/>
      <c r="AA92" s="61"/>
      <c r="AB92" s="62"/>
      <c r="AC92" s="61"/>
      <c r="AD92" s="64"/>
      <c r="AE92" s="61"/>
    </row>
    <row r="93" spans="1:31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4"/>
      <c r="U93" s="64"/>
      <c r="V93" s="62"/>
      <c r="W93" s="61"/>
      <c r="X93" s="61"/>
      <c r="Y93" s="61"/>
      <c r="Z93" s="61"/>
      <c r="AA93" s="61"/>
      <c r="AB93" s="62"/>
      <c r="AC93" s="61"/>
      <c r="AD93" s="64"/>
      <c r="AE93" s="61"/>
    </row>
    <row r="94" spans="1:31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4"/>
      <c r="U94" s="64"/>
      <c r="V94" s="62"/>
      <c r="W94" s="61"/>
      <c r="X94" s="61"/>
      <c r="Y94" s="61"/>
      <c r="Z94" s="61"/>
      <c r="AA94" s="61"/>
      <c r="AB94" s="62"/>
      <c r="AC94" s="61"/>
      <c r="AD94" s="64"/>
      <c r="AE94" s="61"/>
    </row>
    <row r="95" spans="1:31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4"/>
      <c r="U95" s="64"/>
      <c r="V95" s="62"/>
      <c r="W95" s="61"/>
      <c r="X95" s="61"/>
      <c r="Y95" s="61"/>
      <c r="Z95" s="61"/>
      <c r="AA95" s="61"/>
      <c r="AB95" s="62"/>
      <c r="AC95" s="61"/>
      <c r="AD95" s="64"/>
      <c r="AE95" s="61"/>
    </row>
    <row r="96" spans="1:31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4"/>
      <c r="U96" s="64"/>
      <c r="V96" s="62"/>
      <c r="W96" s="61"/>
      <c r="X96" s="61"/>
      <c r="Y96" s="61"/>
      <c r="Z96" s="61"/>
      <c r="AA96" s="61"/>
      <c r="AB96" s="62"/>
      <c r="AC96" s="61"/>
      <c r="AD96" s="64"/>
      <c r="AE96" s="61"/>
    </row>
    <row r="97" spans="1:31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4"/>
      <c r="U97" s="64"/>
      <c r="V97" s="62"/>
      <c r="W97" s="61"/>
      <c r="X97" s="61"/>
      <c r="Y97" s="61"/>
      <c r="Z97" s="61"/>
      <c r="AA97" s="61"/>
      <c r="AB97" s="62"/>
      <c r="AC97" s="61"/>
      <c r="AD97" s="64"/>
      <c r="AE97" s="61"/>
    </row>
    <row r="98" spans="1:31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4"/>
      <c r="U98" s="64"/>
      <c r="V98" s="62"/>
      <c r="W98" s="61"/>
      <c r="X98" s="61"/>
      <c r="Y98" s="61"/>
      <c r="Z98" s="61"/>
      <c r="AA98" s="61"/>
      <c r="AB98" s="62"/>
      <c r="AC98" s="61"/>
      <c r="AD98" s="64"/>
      <c r="AE98" s="61"/>
    </row>
    <row r="99" spans="1:31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4"/>
      <c r="U99" s="64"/>
      <c r="V99" s="62"/>
      <c r="W99" s="61"/>
      <c r="X99" s="61"/>
      <c r="Y99" s="61"/>
      <c r="Z99" s="61"/>
      <c r="AA99" s="61"/>
      <c r="AB99" s="62"/>
      <c r="AC99" s="61"/>
      <c r="AD99" s="64"/>
      <c r="AE99" s="61"/>
    </row>
    <row r="100" spans="1:31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4"/>
      <c r="U100" s="64"/>
      <c r="V100" s="62"/>
      <c r="W100" s="61"/>
      <c r="X100" s="61"/>
      <c r="Y100" s="61"/>
      <c r="Z100" s="61"/>
      <c r="AA100" s="61"/>
      <c r="AB100" s="62"/>
      <c r="AC100" s="61"/>
      <c r="AD100" s="64"/>
      <c r="AE100" s="61"/>
    </row>
    <row r="101" spans="1:3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4"/>
      <c r="U101" s="64"/>
      <c r="V101" s="62"/>
      <c r="W101" s="61"/>
      <c r="X101" s="61"/>
      <c r="Y101" s="61"/>
      <c r="Z101" s="61"/>
      <c r="AA101" s="61"/>
      <c r="AB101" s="62"/>
      <c r="AC101" s="61"/>
      <c r="AD101" s="64"/>
      <c r="AE101" s="61"/>
    </row>
    <row r="102" spans="1:31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4"/>
      <c r="U102" s="64"/>
      <c r="V102" s="62"/>
      <c r="W102" s="61"/>
      <c r="X102" s="61"/>
      <c r="Y102" s="61"/>
      <c r="Z102" s="61"/>
      <c r="AA102" s="61"/>
      <c r="AB102" s="62"/>
      <c r="AC102" s="61"/>
      <c r="AD102" s="64"/>
      <c r="AE102" s="61"/>
    </row>
    <row r="103" spans="1:31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4"/>
      <c r="U103" s="64"/>
      <c r="V103" s="62"/>
      <c r="W103" s="61"/>
      <c r="X103" s="61"/>
      <c r="Y103" s="61"/>
      <c r="Z103" s="61"/>
      <c r="AA103" s="61"/>
      <c r="AB103" s="62"/>
      <c r="AC103" s="61"/>
      <c r="AD103" s="64"/>
      <c r="AE103" s="61"/>
    </row>
    <row r="104" spans="1:31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4"/>
      <c r="U104" s="64"/>
      <c r="V104" s="62"/>
      <c r="W104" s="61"/>
      <c r="X104" s="61"/>
      <c r="Y104" s="61"/>
      <c r="Z104" s="61"/>
      <c r="AA104" s="61"/>
      <c r="AB104" s="62"/>
      <c r="AC104" s="61"/>
      <c r="AD104" s="64"/>
      <c r="AE104" s="61"/>
    </row>
    <row r="105" spans="1:31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4"/>
      <c r="U105" s="64"/>
      <c r="V105" s="62"/>
      <c r="W105" s="61"/>
      <c r="X105" s="61"/>
      <c r="Y105" s="61"/>
      <c r="Z105" s="61"/>
      <c r="AA105" s="61"/>
      <c r="AB105" s="62"/>
      <c r="AC105" s="61"/>
      <c r="AD105" s="64"/>
      <c r="AE105" s="61"/>
    </row>
    <row r="106" spans="1:31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4"/>
      <c r="U106" s="64"/>
      <c r="V106" s="62"/>
      <c r="W106" s="61"/>
      <c r="X106" s="61"/>
      <c r="Y106" s="61"/>
      <c r="Z106" s="61"/>
      <c r="AA106" s="61"/>
      <c r="AB106" s="62"/>
      <c r="AC106" s="61"/>
      <c r="AD106" s="64"/>
      <c r="AE106" s="61"/>
    </row>
    <row r="107" spans="1:31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4"/>
      <c r="U107" s="64"/>
      <c r="V107" s="62"/>
      <c r="W107" s="61"/>
      <c r="X107" s="61"/>
      <c r="Y107" s="61"/>
      <c r="Z107" s="61"/>
      <c r="AA107" s="61"/>
      <c r="AB107" s="62"/>
      <c r="AC107" s="61"/>
      <c r="AD107" s="64"/>
      <c r="AE107" s="61"/>
    </row>
    <row r="108" spans="1:31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4"/>
      <c r="U108" s="64"/>
      <c r="V108" s="62"/>
      <c r="W108" s="61"/>
      <c r="X108" s="61"/>
      <c r="Y108" s="61"/>
      <c r="Z108" s="61"/>
      <c r="AA108" s="61"/>
      <c r="AB108" s="62"/>
      <c r="AC108" s="61"/>
      <c r="AD108" s="64"/>
      <c r="AE108" s="61"/>
    </row>
    <row r="109" spans="1:31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4"/>
      <c r="U109" s="64"/>
      <c r="V109" s="62"/>
      <c r="W109" s="61"/>
      <c r="X109" s="61"/>
      <c r="Y109" s="61"/>
      <c r="Z109" s="61"/>
      <c r="AA109" s="61"/>
      <c r="AB109" s="62"/>
      <c r="AC109" s="61"/>
      <c r="AD109" s="64"/>
      <c r="AE109" s="61"/>
    </row>
    <row r="110" spans="1:31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4"/>
      <c r="U110" s="64"/>
      <c r="V110" s="62"/>
      <c r="W110" s="61"/>
      <c r="X110" s="61"/>
      <c r="Y110" s="61"/>
      <c r="Z110" s="61"/>
      <c r="AA110" s="61"/>
      <c r="AB110" s="62"/>
      <c r="AC110" s="61"/>
      <c r="AD110" s="64"/>
      <c r="AE110" s="61"/>
    </row>
    <row r="111" spans="1:3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4"/>
      <c r="U111" s="64"/>
      <c r="V111" s="62"/>
      <c r="W111" s="61"/>
      <c r="X111" s="61"/>
      <c r="Y111" s="61"/>
      <c r="Z111" s="61"/>
      <c r="AA111" s="61"/>
      <c r="AB111" s="62"/>
      <c r="AC111" s="61"/>
      <c r="AD111" s="64"/>
      <c r="AE111" s="61"/>
    </row>
    <row r="112" spans="1:31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4"/>
      <c r="U112" s="64"/>
      <c r="V112" s="62"/>
      <c r="W112" s="61"/>
      <c r="X112" s="61"/>
      <c r="Y112" s="61"/>
      <c r="Z112" s="61"/>
      <c r="AA112" s="61"/>
      <c r="AB112" s="62"/>
      <c r="AC112" s="61"/>
      <c r="AD112" s="64"/>
      <c r="AE112" s="61"/>
    </row>
    <row r="113" spans="1:31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4"/>
      <c r="U113" s="64"/>
      <c r="V113" s="62"/>
      <c r="W113" s="61"/>
      <c r="X113" s="61"/>
      <c r="Y113" s="61"/>
      <c r="Z113" s="61"/>
      <c r="AA113" s="61"/>
      <c r="AB113" s="62"/>
      <c r="AC113" s="61"/>
      <c r="AD113" s="64"/>
      <c r="AE113" s="61"/>
    </row>
    <row r="114" spans="1:31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4"/>
      <c r="U114" s="64"/>
      <c r="V114" s="62"/>
      <c r="W114" s="61"/>
      <c r="X114" s="61"/>
      <c r="Y114" s="61"/>
      <c r="Z114" s="61"/>
      <c r="AA114" s="61"/>
      <c r="AB114" s="62"/>
      <c r="AC114" s="61"/>
      <c r="AD114" s="64"/>
      <c r="AE114" s="61"/>
    </row>
    <row r="115" spans="1:31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4"/>
      <c r="U115" s="64"/>
      <c r="V115" s="62"/>
      <c r="W115" s="61"/>
      <c r="X115" s="61"/>
      <c r="Y115" s="61"/>
      <c r="Z115" s="61"/>
      <c r="AA115" s="61"/>
      <c r="AB115" s="62"/>
      <c r="AC115" s="61"/>
      <c r="AD115" s="64"/>
      <c r="AE115" s="61"/>
    </row>
    <row r="116" spans="1:31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4"/>
      <c r="U116" s="64"/>
      <c r="V116" s="62"/>
      <c r="W116" s="61"/>
      <c r="X116" s="61"/>
      <c r="Y116" s="61"/>
      <c r="Z116" s="61"/>
      <c r="AA116" s="61"/>
      <c r="AB116" s="62"/>
      <c r="AC116" s="61"/>
      <c r="AD116" s="64"/>
      <c r="AE116" s="61"/>
    </row>
    <row r="117" spans="1:31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4"/>
      <c r="U117" s="64"/>
      <c r="V117" s="62"/>
      <c r="W117" s="61"/>
      <c r="X117" s="61"/>
      <c r="Y117" s="61"/>
      <c r="Z117" s="61"/>
      <c r="AA117" s="61"/>
      <c r="AB117" s="62"/>
      <c r="AC117" s="61"/>
      <c r="AD117" s="64"/>
      <c r="AE117" s="61"/>
    </row>
    <row r="118" spans="1:31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4"/>
      <c r="U118" s="64"/>
      <c r="V118" s="62"/>
      <c r="W118" s="61"/>
      <c r="X118" s="61"/>
      <c r="Y118" s="61"/>
      <c r="Z118" s="61"/>
      <c r="AA118" s="61"/>
      <c r="AB118" s="62"/>
      <c r="AC118" s="61"/>
      <c r="AD118" s="64"/>
      <c r="AE118" s="61"/>
    </row>
    <row r="119" spans="1:31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4"/>
      <c r="U119" s="64"/>
      <c r="V119" s="62"/>
      <c r="W119" s="61"/>
      <c r="X119" s="61"/>
      <c r="Y119" s="61"/>
      <c r="Z119" s="61"/>
      <c r="AA119" s="61"/>
      <c r="AB119" s="62"/>
      <c r="AC119" s="61"/>
      <c r="AD119" s="64"/>
      <c r="AE119" s="61"/>
    </row>
    <row r="120" spans="1:31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4"/>
      <c r="U120" s="64"/>
      <c r="V120" s="62"/>
      <c r="W120" s="61"/>
      <c r="X120" s="61"/>
      <c r="Y120" s="61"/>
      <c r="Z120" s="61"/>
      <c r="AA120" s="61"/>
      <c r="AB120" s="62"/>
      <c r="AC120" s="61"/>
      <c r="AD120" s="64"/>
      <c r="AE120" s="61"/>
    </row>
    <row r="121" spans="1:3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4"/>
      <c r="U121" s="64"/>
      <c r="V121" s="62"/>
      <c r="W121" s="61"/>
      <c r="X121" s="61"/>
      <c r="Y121" s="61"/>
      <c r="Z121" s="61"/>
      <c r="AA121" s="61"/>
      <c r="AB121" s="62"/>
      <c r="AC121" s="61"/>
      <c r="AD121" s="64"/>
      <c r="AE121" s="61"/>
    </row>
    <row r="122" spans="1:31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4"/>
      <c r="U122" s="64"/>
      <c r="V122" s="62"/>
      <c r="W122" s="61"/>
      <c r="X122" s="61"/>
      <c r="Y122" s="61"/>
      <c r="Z122" s="61"/>
      <c r="AA122" s="61"/>
      <c r="AB122" s="62"/>
      <c r="AC122" s="61"/>
      <c r="AD122" s="64"/>
      <c r="AE122" s="61"/>
    </row>
    <row r="123" spans="1:31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4"/>
      <c r="U123" s="64"/>
      <c r="V123" s="62"/>
      <c r="W123" s="61"/>
      <c r="X123" s="61"/>
      <c r="Y123" s="61"/>
      <c r="Z123" s="61"/>
      <c r="AA123" s="61"/>
      <c r="AB123" s="62"/>
      <c r="AC123" s="61"/>
      <c r="AD123" s="64"/>
      <c r="AE123" s="61"/>
    </row>
    <row r="124" spans="1:31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4"/>
      <c r="U124" s="64"/>
      <c r="V124" s="62"/>
      <c r="W124" s="61"/>
      <c r="X124" s="61"/>
      <c r="Y124" s="61"/>
      <c r="Z124" s="61"/>
      <c r="AA124" s="61"/>
      <c r="AB124" s="62"/>
      <c r="AC124" s="61"/>
      <c r="AD124" s="64"/>
      <c r="AE124" s="61"/>
    </row>
    <row r="125" spans="1:31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4"/>
      <c r="U125" s="64"/>
      <c r="V125" s="62"/>
      <c r="W125" s="61"/>
      <c r="X125" s="61"/>
      <c r="Y125" s="61"/>
      <c r="Z125" s="61"/>
      <c r="AA125" s="61"/>
      <c r="AB125" s="62"/>
      <c r="AC125" s="61"/>
      <c r="AD125" s="64"/>
      <c r="AE125" s="61"/>
    </row>
    <row r="126" spans="1:31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4"/>
      <c r="U126" s="64"/>
      <c r="V126" s="62"/>
      <c r="W126" s="61"/>
      <c r="X126" s="61"/>
      <c r="Y126" s="61"/>
      <c r="Z126" s="61"/>
      <c r="AA126" s="61"/>
      <c r="AB126" s="62"/>
      <c r="AC126" s="61"/>
      <c r="AD126" s="64"/>
      <c r="AE126" s="61"/>
    </row>
    <row r="127" spans="1:31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4"/>
      <c r="U127" s="64"/>
      <c r="V127" s="62"/>
      <c r="W127" s="61"/>
      <c r="X127" s="61"/>
      <c r="Y127" s="61"/>
      <c r="Z127" s="61"/>
      <c r="AA127" s="61"/>
      <c r="AB127" s="62"/>
      <c r="AC127" s="61"/>
      <c r="AD127" s="64"/>
      <c r="AE127" s="61"/>
    </row>
    <row r="128" spans="1:31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4"/>
      <c r="U128" s="64"/>
      <c r="V128" s="62"/>
      <c r="W128" s="61"/>
      <c r="X128" s="61"/>
      <c r="Y128" s="61"/>
      <c r="Z128" s="61"/>
      <c r="AA128" s="61"/>
      <c r="AB128" s="62"/>
      <c r="AC128" s="61"/>
      <c r="AD128" s="64"/>
      <c r="AE128" s="61"/>
    </row>
    <row r="129" spans="1:31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4"/>
      <c r="U129" s="64"/>
      <c r="V129" s="62"/>
      <c r="W129" s="61"/>
      <c r="X129" s="61"/>
      <c r="Y129" s="61"/>
      <c r="Z129" s="61"/>
      <c r="AA129" s="61"/>
      <c r="AB129" s="62"/>
      <c r="AC129" s="61"/>
      <c r="AD129" s="64"/>
      <c r="AE129" s="61"/>
    </row>
    <row r="130" spans="1:31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4"/>
      <c r="U130" s="64"/>
      <c r="V130" s="62"/>
      <c r="W130" s="61"/>
      <c r="X130" s="61"/>
      <c r="Y130" s="61"/>
      <c r="Z130" s="61"/>
      <c r="AA130" s="61"/>
      <c r="AB130" s="62"/>
      <c r="AC130" s="61"/>
      <c r="AD130" s="64"/>
      <c r="AE130" s="61"/>
    </row>
    <row r="131" spans="1: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4"/>
      <c r="U131" s="64"/>
      <c r="V131" s="62"/>
      <c r="W131" s="61"/>
      <c r="X131" s="61"/>
      <c r="Y131" s="61"/>
      <c r="Z131" s="61"/>
      <c r="AA131" s="61"/>
      <c r="AB131" s="62"/>
      <c r="AC131" s="61"/>
      <c r="AD131" s="64"/>
      <c r="AE131" s="61"/>
    </row>
    <row r="132" spans="1:31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4"/>
      <c r="U132" s="64"/>
      <c r="V132" s="62"/>
      <c r="W132" s="61"/>
      <c r="X132" s="61"/>
      <c r="Y132" s="61"/>
      <c r="Z132" s="61"/>
      <c r="AA132" s="61"/>
      <c r="AB132" s="62"/>
      <c r="AC132" s="61"/>
      <c r="AD132" s="64"/>
      <c r="AE132" s="61"/>
    </row>
    <row r="133" spans="1:31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4"/>
      <c r="U133" s="64"/>
      <c r="V133" s="62"/>
      <c r="W133" s="61"/>
      <c r="X133" s="61"/>
      <c r="Y133" s="61"/>
      <c r="Z133" s="61"/>
      <c r="AA133" s="61"/>
      <c r="AB133" s="62"/>
      <c r="AC133" s="61"/>
      <c r="AD133" s="64"/>
      <c r="AE133" s="61"/>
    </row>
    <row r="134" spans="1:31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4"/>
      <c r="U134" s="64"/>
      <c r="V134" s="62"/>
      <c r="W134" s="61"/>
      <c r="X134" s="61"/>
      <c r="Y134" s="61"/>
      <c r="Z134" s="61"/>
      <c r="AA134" s="61"/>
      <c r="AB134" s="62"/>
      <c r="AC134" s="61"/>
      <c r="AD134" s="64"/>
      <c r="AE134" s="61"/>
    </row>
    <row r="135" spans="1:31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4"/>
      <c r="U135" s="64"/>
      <c r="V135" s="62"/>
      <c r="W135" s="61"/>
      <c r="X135" s="61"/>
      <c r="Y135" s="61"/>
      <c r="Z135" s="61"/>
      <c r="AA135" s="61"/>
      <c r="AB135" s="62"/>
      <c r="AC135" s="61"/>
      <c r="AD135" s="64"/>
      <c r="AE135" s="61"/>
    </row>
    <row r="136" spans="1:31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4"/>
      <c r="U136" s="64"/>
      <c r="V136" s="62"/>
      <c r="W136" s="61"/>
      <c r="X136" s="61"/>
      <c r="Y136" s="61"/>
      <c r="Z136" s="61"/>
      <c r="AA136" s="61"/>
      <c r="AB136" s="62"/>
      <c r="AC136" s="61"/>
      <c r="AD136" s="64"/>
      <c r="AE136" s="61"/>
    </row>
    <row r="137" spans="1:31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4"/>
      <c r="U137" s="64"/>
      <c r="V137" s="62"/>
      <c r="W137" s="61"/>
      <c r="X137" s="61"/>
      <c r="Y137" s="61"/>
      <c r="Z137" s="61"/>
      <c r="AA137" s="61"/>
      <c r="AB137" s="62"/>
      <c r="AC137" s="61"/>
      <c r="AD137" s="64"/>
      <c r="AE137" s="61"/>
    </row>
    <row r="138" spans="1:31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4"/>
      <c r="U138" s="64"/>
      <c r="V138" s="62"/>
      <c r="W138" s="61"/>
      <c r="X138" s="61"/>
      <c r="Y138" s="61"/>
      <c r="Z138" s="61"/>
      <c r="AA138" s="61"/>
      <c r="AB138" s="62"/>
      <c r="AC138" s="61"/>
      <c r="AD138" s="64"/>
      <c r="AE138" s="61"/>
    </row>
    <row r="139" spans="1:31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4"/>
      <c r="U139" s="64"/>
      <c r="V139" s="62"/>
      <c r="W139" s="61"/>
      <c r="X139" s="61"/>
      <c r="Y139" s="61"/>
      <c r="Z139" s="61"/>
      <c r="AA139" s="61"/>
      <c r="AB139" s="62"/>
      <c r="AC139" s="61"/>
      <c r="AD139" s="64"/>
      <c r="AE139" s="61"/>
    </row>
    <row r="140" spans="1:31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4"/>
      <c r="U140" s="64"/>
      <c r="V140" s="62"/>
      <c r="W140" s="61"/>
      <c r="X140" s="61"/>
      <c r="Y140" s="61"/>
      <c r="Z140" s="61"/>
      <c r="AA140" s="61"/>
      <c r="AB140" s="62"/>
      <c r="AC140" s="61"/>
      <c r="AD140" s="64"/>
      <c r="AE140" s="61"/>
    </row>
    <row r="141" spans="1:3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4"/>
      <c r="U141" s="64"/>
      <c r="V141" s="62"/>
      <c r="W141" s="61"/>
      <c r="X141" s="61"/>
      <c r="Y141" s="61"/>
      <c r="Z141" s="61"/>
      <c r="AA141" s="61"/>
      <c r="AB141" s="62"/>
      <c r="AC141" s="61"/>
      <c r="AD141" s="64"/>
      <c r="AE141" s="61"/>
    </row>
    <row r="142" spans="1:31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4"/>
      <c r="U142" s="64"/>
      <c r="V142" s="62"/>
      <c r="W142" s="61"/>
      <c r="X142" s="61"/>
      <c r="Y142" s="61"/>
      <c r="Z142" s="61"/>
      <c r="AA142" s="61"/>
      <c r="AB142" s="62"/>
      <c r="AC142" s="61"/>
      <c r="AD142" s="64"/>
      <c r="AE142" s="61"/>
    </row>
    <row r="143" spans="1:31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4"/>
      <c r="U143" s="64"/>
      <c r="V143" s="62"/>
      <c r="W143" s="61"/>
      <c r="X143" s="61"/>
      <c r="Y143" s="61"/>
      <c r="Z143" s="61"/>
      <c r="AA143" s="61"/>
      <c r="AB143" s="62"/>
      <c r="AC143" s="61"/>
      <c r="AD143" s="64"/>
      <c r="AE143" s="61"/>
    </row>
    <row r="144" spans="1:31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4"/>
      <c r="U144" s="64"/>
      <c r="V144" s="62"/>
      <c r="W144" s="61"/>
      <c r="X144" s="61"/>
      <c r="Y144" s="61"/>
      <c r="Z144" s="61"/>
      <c r="AA144" s="61"/>
      <c r="AB144" s="62"/>
      <c r="AC144" s="61"/>
      <c r="AD144" s="64"/>
      <c r="AE144" s="61"/>
    </row>
    <row r="145" spans="1:31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4"/>
      <c r="U145" s="64"/>
      <c r="V145" s="62"/>
      <c r="W145" s="61"/>
      <c r="X145" s="61"/>
      <c r="Y145" s="61"/>
      <c r="Z145" s="61"/>
      <c r="AA145" s="61"/>
      <c r="AB145" s="62"/>
      <c r="AC145" s="61"/>
      <c r="AD145" s="64"/>
      <c r="AE145" s="61"/>
    </row>
    <row r="146" spans="1:31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4"/>
      <c r="U146" s="64"/>
      <c r="V146" s="62"/>
      <c r="W146" s="61"/>
      <c r="X146" s="61"/>
      <c r="Y146" s="61"/>
      <c r="Z146" s="61"/>
      <c r="AA146" s="61"/>
      <c r="AB146" s="62"/>
      <c r="AC146" s="61"/>
      <c r="AD146" s="64"/>
      <c r="AE146" s="61"/>
    </row>
    <row r="147" spans="1:31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4"/>
      <c r="U147" s="64"/>
      <c r="V147" s="62"/>
      <c r="W147" s="61"/>
      <c r="X147" s="61"/>
      <c r="Y147" s="61"/>
      <c r="Z147" s="61"/>
      <c r="AA147" s="61"/>
      <c r="AB147" s="62"/>
      <c r="AC147" s="61"/>
      <c r="AD147" s="64"/>
      <c r="AE147" s="61"/>
    </row>
    <row r="148" spans="1:31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4"/>
      <c r="U148" s="64"/>
      <c r="V148" s="62"/>
      <c r="W148" s="61"/>
      <c r="X148" s="61"/>
      <c r="Y148" s="61"/>
      <c r="Z148" s="61"/>
      <c r="AA148" s="61"/>
      <c r="AB148" s="62"/>
      <c r="AC148" s="61"/>
      <c r="AD148" s="64"/>
      <c r="AE148" s="61"/>
    </row>
    <row r="149" spans="1:31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4"/>
      <c r="U149" s="64"/>
      <c r="V149" s="62"/>
      <c r="W149" s="61"/>
      <c r="X149" s="61"/>
      <c r="Y149" s="61"/>
      <c r="Z149" s="61"/>
      <c r="AA149" s="61"/>
      <c r="AB149" s="62"/>
      <c r="AC149" s="61"/>
      <c r="AD149" s="64"/>
      <c r="AE149" s="61"/>
    </row>
    <row r="150" spans="1:31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4"/>
      <c r="U150" s="64"/>
      <c r="V150" s="62"/>
      <c r="W150" s="61"/>
      <c r="X150" s="61"/>
      <c r="Y150" s="61"/>
      <c r="Z150" s="61"/>
      <c r="AA150" s="61"/>
      <c r="AB150" s="62"/>
      <c r="AC150" s="61"/>
      <c r="AD150" s="64"/>
      <c r="AE150" s="61"/>
    </row>
    <row r="151" spans="1:3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4"/>
      <c r="U151" s="64"/>
      <c r="V151" s="62"/>
      <c r="W151" s="61"/>
      <c r="X151" s="61"/>
      <c r="Y151" s="61"/>
      <c r="Z151" s="61"/>
      <c r="AA151" s="61"/>
      <c r="AB151" s="62"/>
      <c r="AC151" s="61"/>
      <c r="AD151" s="64"/>
      <c r="AE151" s="61"/>
    </row>
    <row r="152" spans="1:31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4"/>
      <c r="U152" s="64"/>
      <c r="V152" s="62"/>
      <c r="W152" s="61"/>
      <c r="X152" s="61"/>
      <c r="Y152" s="61"/>
      <c r="Z152" s="61"/>
      <c r="AA152" s="61"/>
      <c r="AB152" s="62"/>
      <c r="AC152" s="61"/>
      <c r="AD152" s="64"/>
      <c r="AE152" s="61"/>
    </row>
    <row r="153" spans="1:31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4"/>
      <c r="U153" s="64"/>
      <c r="V153" s="62"/>
      <c r="W153" s="61"/>
      <c r="X153" s="61"/>
      <c r="Y153" s="61"/>
      <c r="Z153" s="61"/>
      <c r="AA153" s="61"/>
      <c r="AB153" s="62"/>
      <c r="AC153" s="61"/>
      <c r="AD153" s="64"/>
      <c r="AE153" s="61"/>
    </row>
    <row r="154" spans="1:31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4"/>
      <c r="U154" s="64"/>
      <c r="V154" s="62"/>
      <c r="W154" s="61"/>
      <c r="X154" s="61"/>
      <c r="Y154" s="61"/>
      <c r="Z154" s="61"/>
      <c r="AA154" s="61"/>
      <c r="AB154" s="62"/>
      <c r="AC154" s="61"/>
      <c r="AD154" s="64"/>
      <c r="AE154" s="61"/>
    </row>
    <row r="155" spans="1:31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4"/>
      <c r="U155" s="64"/>
      <c r="V155" s="62"/>
      <c r="W155" s="61"/>
      <c r="X155" s="61"/>
      <c r="Y155" s="61"/>
      <c r="Z155" s="61"/>
      <c r="AA155" s="61"/>
      <c r="AB155" s="62"/>
      <c r="AC155" s="61"/>
      <c r="AD155" s="64"/>
      <c r="AE155" s="61"/>
    </row>
    <row r="156" spans="1:31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4"/>
      <c r="U156" s="64"/>
      <c r="V156" s="62"/>
      <c r="W156" s="61"/>
      <c r="X156" s="61"/>
      <c r="Y156" s="61"/>
      <c r="Z156" s="61"/>
      <c r="AA156" s="61"/>
      <c r="AB156" s="62"/>
      <c r="AC156" s="61"/>
      <c r="AD156" s="64"/>
      <c r="AE156" s="61"/>
    </row>
    <row r="157" spans="1:31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4"/>
      <c r="U157" s="64"/>
      <c r="V157" s="62"/>
      <c r="W157" s="61"/>
      <c r="X157" s="61"/>
      <c r="Y157" s="61"/>
      <c r="Z157" s="61"/>
      <c r="AA157" s="61"/>
      <c r="AB157" s="62"/>
      <c r="AC157" s="61"/>
      <c r="AD157" s="64"/>
      <c r="AE157" s="61"/>
    </row>
    <row r="158" spans="1:31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4"/>
      <c r="U158" s="64"/>
      <c r="V158" s="62"/>
      <c r="W158" s="61"/>
      <c r="X158" s="61"/>
      <c r="Y158" s="61"/>
      <c r="Z158" s="61"/>
      <c r="AA158" s="61"/>
      <c r="AB158" s="62"/>
      <c r="AC158" s="61"/>
      <c r="AD158" s="64"/>
      <c r="AE158" s="61"/>
    </row>
    <row r="159" spans="1:31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4"/>
      <c r="U159" s="64"/>
      <c r="V159" s="62"/>
      <c r="W159" s="61"/>
      <c r="X159" s="61"/>
      <c r="Y159" s="61"/>
      <c r="Z159" s="61"/>
      <c r="AA159" s="61"/>
      <c r="AB159" s="62"/>
      <c r="AC159" s="61"/>
      <c r="AD159" s="64"/>
      <c r="AE159" s="61"/>
    </row>
    <row r="160" spans="1:31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4"/>
      <c r="U160" s="64"/>
      <c r="V160" s="62"/>
      <c r="W160" s="61"/>
      <c r="X160" s="61"/>
      <c r="Y160" s="61"/>
      <c r="Z160" s="61"/>
      <c r="AA160" s="61"/>
      <c r="AB160" s="62"/>
      <c r="AC160" s="61"/>
      <c r="AD160" s="64"/>
      <c r="AE160" s="61"/>
    </row>
    <row r="161" spans="1:3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4"/>
      <c r="U161" s="64"/>
      <c r="V161" s="62"/>
      <c r="W161" s="61"/>
      <c r="X161" s="61"/>
      <c r="Y161" s="61"/>
      <c r="Z161" s="61"/>
      <c r="AA161" s="61"/>
      <c r="AB161" s="62"/>
      <c r="AC161" s="61"/>
      <c r="AD161" s="64"/>
      <c r="AE161" s="61"/>
    </row>
    <row r="162" spans="1:31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4"/>
      <c r="U162" s="64"/>
      <c r="V162" s="62"/>
      <c r="W162" s="61"/>
      <c r="X162" s="61"/>
      <c r="Y162" s="61"/>
      <c r="Z162" s="61"/>
      <c r="AA162" s="61"/>
      <c r="AB162" s="62"/>
      <c r="AC162" s="61"/>
      <c r="AD162" s="64"/>
      <c r="AE162" s="61"/>
    </row>
    <row r="163" spans="1:31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4"/>
      <c r="U163" s="64"/>
      <c r="V163" s="62"/>
      <c r="W163" s="61"/>
      <c r="X163" s="61"/>
      <c r="Y163" s="61"/>
      <c r="Z163" s="61"/>
      <c r="AA163" s="61"/>
      <c r="AB163" s="62"/>
      <c r="AC163" s="61"/>
      <c r="AD163" s="64"/>
      <c r="AE163" s="61"/>
    </row>
    <row r="164" spans="1:31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4"/>
      <c r="U164" s="64"/>
      <c r="V164" s="62"/>
      <c r="W164" s="61"/>
      <c r="X164" s="61"/>
      <c r="Y164" s="61"/>
      <c r="Z164" s="61"/>
      <c r="AA164" s="61"/>
      <c r="AB164" s="62"/>
      <c r="AC164" s="61"/>
      <c r="AD164" s="64"/>
      <c r="AE164" s="61"/>
    </row>
    <row r="165" spans="1:31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4"/>
      <c r="U165" s="64"/>
      <c r="V165" s="62"/>
      <c r="W165" s="61"/>
      <c r="X165" s="61"/>
      <c r="Y165" s="61"/>
      <c r="Z165" s="61"/>
      <c r="AA165" s="61"/>
      <c r="AB165" s="62"/>
      <c r="AC165" s="61"/>
      <c r="AD165" s="64"/>
      <c r="AE165" s="61"/>
    </row>
    <row r="166" spans="1:31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4"/>
      <c r="U166" s="64"/>
      <c r="V166" s="62"/>
      <c r="W166" s="61"/>
      <c r="X166" s="61"/>
      <c r="Y166" s="61"/>
      <c r="Z166" s="61"/>
      <c r="AA166" s="61"/>
      <c r="AB166" s="62"/>
      <c r="AC166" s="61"/>
      <c r="AD166" s="64"/>
      <c r="AE166" s="61"/>
    </row>
    <row r="167" spans="1:31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4"/>
      <c r="U167" s="64"/>
      <c r="V167" s="62"/>
      <c r="W167" s="61"/>
      <c r="X167" s="61"/>
      <c r="Y167" s="61"/>
      <c r="Z167" s="61"/>
      <c r="AA167" s="61"/>
      <c r="AB167" s="62"/>
      <c r="AC167" s="61"/>
      <c r="AD167" s="64"/>
      <c r="AE167" s="61"/>
    </row>
    <row r="168" spans="1:31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4"/>
      <c r="U168" s="64"/>
      <c r="V168" s="62"/>
      <c r="W168" s="61"/>
      <c r="X168" s="61"/>
      <c r="Y168" s="61"/>
      <c r="Z168" s="61"/>
      <c r="AA168" s="61"/>
      <c r="AB168" s="62"/>
      <c r="AC168" s="61"/>
      <c r="AD168" s="64"/>
      <c r="AE168" s="61"/>
    </row>
    <row r="169" spans="1:31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4"/>
      <c r="U169" s="64"/>
      <c r="V169" s="62"/>
      <c r="W169" s="61"/>
      <c r="X169" s="61"/>
      <c r="Y169" s="61"/>
      <c r="Z169" s="61"/>
      <c r="AA169" s="61"/>
      <c r="AB169" s="62"/>
      <c r="AC169" s="61"/>
      <c r="AD169" s="64"/>
      <c r="AE169" s="61"/>
    </row>
    <row r="170" spans="1:31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4"/>
      <c r="U170" s="64"/>
      <c r="V170" s="62"/>
      <c r="W170" s="61"/>
      <c r="X170" s="61"/>
      <c r="Y170" s="61"/>
      <c r="Z170" s="61"/>
      <c r="AA170" s="61"/>
      <c r="AB170" s="62"/>
      <c r="AC170" s="61"/>
      <c r="AD170" s="64"/>
      <c r="AE170" s="61"/>
    </row>
    <row r="171" spans="1:3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4"/>
      <c r="U171" s="64"/>
      <c r="V171" s="62"/>
      <c r="W171" s="61"/>
      <c r="X171" s="61"/>
      <c r="Y171" s="61"/>
      <c r="Z171" s="61"/>
      <c r="AA171" s="61"/>
      <c r="AB171" s="62"/>
      <c r="AC171" s="61"/>
      <c r="AD171" s="64"/>
      <c r="AE171" s="61"/>
    </row>
    <row r="172" spans="1:31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4"/>
      <c r="U172" s="64"/>
      <c r="V172" s="62"/>
      <c r="W172" s="61"/>
      <c r="X172" s="61"/>
      <c r="Y172" s="61"/>
      <c r="Z172" s="61"/>
      <c r="AA172" s="61"/>
      <c r="AB172" s="62"/>
      <c r="AC172" s="61"/>
      <c r="AD172" s="64"/>
      <c r="AE172" s="61"/>
    </row>
    <row r="173" spans="1:31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4"/>
      <c r="U173" s="64"/>
      <c r="V173" s="62"/>
      <c r="W173" s="61"/>
      <c r="X173" s="61"/>
      <c r="Y173" s="61"/>
      <c r="Z173" s="61"/>
      <c r="AA173" s="61"/>
      <c r="AB173" s="62"/>
      <c r="AC173" s="61"/>
      <c r="AD173" s="64"/>
      <c r="AE173" s="61"/>
    </row>
    <row r="174" spans="1:31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4"/>
      <c r="U174" s="64"/>
      <c r="V174" s="62"/>
      <c r="W174" s="61"/>
      <c r="X174" s="61"/>
      <c r="Y174" s="61"/>
      <c r="Z174" s="61"/>
      <c r="AA174" s="61"/>
      <c r="AB174" s="62"/>
      <c r="AC174" s="61"/>
      <c r="AD174" s="64"/>
      <c r="AE174" s="61"/>
    </row>
    <row r="175" spans="1:31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4"/>
      <c r="U175" s="64"/>
      <c r="V175" s="62"/>
      <c r="W175" s="61"/>
      <c r="X175" s="61"/>
      <c r="Y175" s="61"/>
      <c r="Z175" s="61"/>
      <c r="AA175" s="61"/>
      <c r="AB175" s="62"/>
      <c r="AC175" s="61"/>
      <c r="AD175" s="64"/>
      <c r="AE175" s="61"/>
    </row>
    <row r="176" spans="1:31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4"/>
      <c r="U176" s="64"/>
      <c r="V176" s="62"/>
      <c r="W176" s="61"/>
      <c r="X176" s="61"/>
      <c r="Y176" s="61"/>
      <c r="Z176" s="61"/>
      <c r="AA176" s="61"/>
      <c r="AB176" s="62"/>
      <c r="AC176" s="61"/>
      <c r="AD176" s="64"/>
      <c r="AE176" s="61"/>
    </row>
    <row r="177" spans="1:31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4"/>
      <c r="U177" s="64"/>
      <c r="V177" s="62"/>
      <c r="W177" s="61"/>
      <c r="X177" s="61"/>
      <c r="Y177" s="61"/>
      <c r="Z177" s="61"/>
      <c r="AA177" s="61"/>
      <c r="AB177" s="62"/>
      <c r="AC177" s="61"/>
      <c r="AD177" s="64"/>
      <c r="AE177" s="61"/>
    </row>
    <row r="178" spans="1:31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4"/>
      <c r="U178" s="64"/>
      <c r="V178" s="62"/>
      <c r="W178" s="61"/>
      <c r="X178" s="61"/>
      <c r="Y178" s="61"/>
      <c r="Z178" s="61"/>
      <c r="AA178" s="61"/>
      <c r="AB178" s="62"/>
      <c r="AC178" s="61"/>
      <c r="AD178" s="64"/>
      <c r="AE178" s="61"/>
    </row>
    <row r="179" spans="1:31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4"/>
      <c r="U179" s="64"/>
      <c r="V179" s="62"/>
      <c r="W179" s="61"/>
      <c r="X179" s="61"/>
      <c r="Y179" s="61"/>
      <c r="Z179" s="61"/>
      <c r="AA179" s="61"/>
      <c r="AB179" s="62"/>
      <c r="AC179" s="61"/>
      <c r="AD179" s="64"/>
      <c r="AE179" s="61"/>
    </row>
    <row r="180" spans="1:31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4"/>
      <c r="U180" s="64"/>
      <c r="V180" s="62"/>
      <c r="W180" s="61"/>
      <c r="X180" s="61"/>
      <c r="Y180" s="61"/>
      <c r="Z180" s="61"/>
      <c r="AA180" s="61"/>
      <c r="AB180" s="62"/>
      <c r="AC180" s="61"/>
      <c r="AD180" s="64"/>
      <c r="AE180" s="61"/>
    </row>
    <row r="181" spans="1:3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4"/>
      <c r="U181" s="64"/>
      <c r="V181" s="62"/>
      <c r="W181" s="61"/>
      <c r="X181" s="61"/>
      <c r="Y181" s="61"/>
      <c r="Z181" s="61"/>
      <c r="AA181" s="61"/>
      <c r="AB181" s="62"/>
      <c r="AC181" s="61"/>
      <c r="AD181" s="64"/>
      <c r="AE181" s="61"/>
    </row>
    <row r="182" spans="1:31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4"/>
      <c r="U182" s="64"/>
      <c r="V182" s="62"/>
      <c r="W182" s="61"/>
      <c r="X182" s="61"/>
      <c r="Y182" s="61"/>
      <c r="Z182" s="61"/>
      <c r="AA182" s="61"/>
      <c r="AB182" s="62"/>
      <c r="AC182" s="61"/>
      <c r="AD182" s="64"/>
      <c r="AE182" s="61"/>
    </row>
    <row r="183" spans="1:31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4"/>
      <c r="U183" s="64"/>
      <c r="V183" s="62"/>
      <c r="W183" s="61"/>
      <c r="X183" s="61"/>
      <c r="Y183" s="61"/>
      <c r="Z183" s="61"/>
      <c r="AA183" s="61"/>
      <c r="AB183" s="62"/>
      <c r="AC183" s="61"/>
      <c r="AD183" s="64"/>
      <c r="AE183" s="61"/>
    </row>
    <row r="184" spans="1:31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4"/>
      <c r="U184" s="64"/>
      <c r="V184" s="62"/>
      <c r="W184" s="61"/>
      <c r="X184" s="61"/>
      <c r="Y184" s="61"/>
      <c r="Z184" s="61"/>
      <c r="AA184" s="61"/>
      <c r="AB184" s="62"/>
      <c r="AC184" s="61"/>
      <c r="AD184" s="64"/>
      <c r="AE184" s="61"/>
    </row>
    <row r="185" spans="1:31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4"/>
      <c r="U185" s="64"/>
      <c r="V185" s="62"/>
      <c r="W185" s="61"/>
      <c r="X185" s="61"/>
      <c r="Y185" s="61"/>
      <c r="Z185" s="61"/>
      <c r="AA185" s="61"/>
      <c r="AB185" s="62"/>
      <c r="AC185" s="61"/>
      <c r="AD185" s="64"/>
      <c r="AE185" s="61"/>
    </row>
    <row r="186" spans="1:31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4"/>
      <c r="U186" s="64"/>
      <c r="V186" s="62"/>
      <c r="W186" s="61"/>
      <c r="X186" s="61"/>
      <c r="Y186" s="61"/>
      <c r="Z186" s="61"/>
      <c r="AA186" s="61"/>
      <c r="AB186" s="62"/>
      <c r="AC186" s="61"/>
      <c r="AD186" s="64"/>
      <c r="AE186" s="61"/>
    </row>
    <row r="187" spans="1:31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4"/>
      <c r="U187" s="64"/>
      <c r="V187" s="62"/>
      <c r="W187" s="61"/>
      <c r="X187" s="61"/>
      <c r="Y187" s="61"/>
      <c r="Z187" s="61"/>
      <c r="AA187" s="61"/>
      <c r="AB187" s="62"/>
      <c r="AC187" s="61"/>
      <c r="AD187" s="64"/>
      <c r="AE187" s="61"/>
    </row>
    <row r="188" spans="1:31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4"/>
      <c r="U188" s="64"/>
      <c r="V188" s="62"/>
      <c r="W188" s="61"/>
      <c r="X188" s="61"/>
      <c r="Y188" s="61"/>
      <c r="Z188" s="61"/>
      <c r="AA188" s="61"/>
      <c r="AB188" s="62"/>
      <c r="AC188" s="61"/>
      <c r="AD188" s="64"/>
      <c r="AE188" s="61"/>
    </row>
    <row r="189" spans="1:31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4"/>
      <c r="U189" s="64"/>
      <c r="V189" s="62"/>
      <c r="W189" s="61"/>
      <c r="X189" s="61"/>
      <c r="Y189" s="61"/>
      <c r="Z189" s="61"/>
      <c r="AA189" s="61"/>
      <c r="AB189" s="62"/>
      <c r="AC189" s="61"/>
      <c r="AD189" s="64"/>
      <c r="AE189" s="61"/>
    </row>
    <row r="190" spans="1:31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4"/>
      <c r="U190" s="64"/>
      <c r="V190" s="62"/>
      <c r="W190" s="61"/>
      <c r="X190" s="61"/>
      <c r="Y190" s="61"/>
      <c r="Z190" s="61"/>
      <c r="AA190" s="61"/>
      <c r="AB190" s="62"/>
      <c r="AC190" s="61"/>
      <c r="AD190" s="64"/>
      <c r="AE190" s="61"/>
    </row>
    <row r="191" spans="1:3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4"/>
      <c r="U191" s="64"/>
      <c r="V191" s="62"/>
      <c r="W191" s="61"/>
      <c r="X191" s="61"/>
      <c r="Y191" s="61"/>
      <c r="Z191" s="61"/>
      <c r="AA191" s="61"/>
      <c r="AB191" s="62"/>
      <c r="AC191" s="61"/>
      <c r="AD191" s="64"/>
      <c r="AE191" s="61"/>
    </row>
    <row r="192" spans="1:31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4"/>
      <c r="U192" s="64"/>
      <c r="V192" s="62"/>
      <c r="W192" s="61"/>
      <c r="X192" s="61"/>
      <c r="Y192" s="61"/>
      <c r="Z192" s="61"/>
      <c r="AA192" s="61"/>
      <c r="AB192" s="62"/>
      <c r="AC192" s="61"/>
      <c r="AD192" s="64"/>
      <c r="AE192" s="61"/>
    </row>
    <row r="193" spans="1:31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4"/>
      <c r="U193" s="64"/>
      <c r="V193" s="62"/>
      <c r="W193" s="61"/>
      <c r="X193" s="61"/>
      <c r="Y193" s="61"/>
      <c r="Z193" s="61"/>
      <c r="AA193" s="61"/>
      <c r="AB193" s="62"/>
      <c r="AC193" s="61"/>
      <c r="AD193" s="64"/>
      <c r="AE193" s="61"/>
    </row>
    <row r="194" spans="1:31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4"/>
      <c r="U194" s="64"/>
      <c r="V194" s="62"/>
      <c r="W194" s="61"/>
      <c r="X194" s="61"/>
      <c r="Y194" s="61"/>
      <c r="Z194" s="61"/>
      <c r="AA194" s="61"/>
      <c r="AB194" s="62"/>
      <c r="AC194" s="61"/>
      <c r="AD194" s="64"/>
      <c r="AE194" s="61"/>
    </row>
    <row r="195" spans="1:31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4"/>
      <c r="U195" s="64"/>
      <c r="V195" s="62"/>
      <c r="W195" s="61"/>
      <c r="X195" s="61"/>
      <c r="Y195" s="61"/>
      <c r="Z195" s="61"/>
      <c r="AA195" s="61"/>
      <c r="AB195" s="62"/>
      <c r="AC195" s="61"/>
      <c r="AD195" s="64"/>
      <c r="AE195" s="61"/>
    </row>
    <row r="196" spans="1:31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4"/>
      <c r="U196" s="64"/>
      <c r="V196" s="62"/>
      <c r="W196" s="61"/>
      <c r="X196" s="61"/>
      <c r="Y196" s="61"/>
      <c r="Z196" s="61"/>
      <c r="AA196" s="61"/>
      <c r="AB196" s="62"/>
      <c r="AC196" s="61"/>
      <c r="AD196" s="64"/>
      <c r="AE196" s="61"/>
    </row>
    <row r="197" spans="1:31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4"/>
      <c r="U197" s="64"/>
      <c r="V197" s="62"/>
      <c r="W197" s="61"/>
      <c r="X197" s="61"/>
      <c r="Y197" s="61"/>
      <c r="Z197" s="61"/>
      <c r="AA197" s="61"/>
      <c r="AB197" s="62"/>
      <c r="AC197" s="61"/>
      <c r="AD197" s="64"/>
      <c r="AE197" s="61"/>
    </row>
    <row r="198" spans="1:31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4"/>
      <c r="U198" s="64"/>
      <c r="V198" s="62"/>
      <c r="W198" s="61"/>
      <c r="X198" s="61"/>
      <c r="Y198" s="61"/>
      <c r="Z198" s="61"/>
      <c r="AA198" s="61"/>
      <c r="AB198" s="62"/>
      <c r="AC198" s="61"/>
      <c r="AD198" s="64"/>
      <c r="AE198" s="61"/>
    </row>
    <row r="199" spans="1:31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4"/>
      <c r="U199" s="64"/>
      <c r="V199" s="62"/>
      <c r="W199" s="61"/>
      <c r="X199" s="61"/>
      <c r="Y199" s="61"/>
      <c r="Z199" s="61"/>
      <c r="AA199" s="61"/>
      <c r="AB199" s="62"/>
      <c r="AC199" s="61"/>
      <c r="AD199" s="64"/>
      <c r="AE199" s="61"/>
    </row>
    <row r="200" spans="1:31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4"/>
      <c r="U200" s="64"/>
      <c r="V200" s="62"/>
      <c r="W200" s="61"/>
      <c r="X200" s="61"/>
      <c r="Y200" s="61"/>
      <c r="Z200" s="61"/>
      <c r="AA200" s="61"/>
      <c r="AB200" s="62"/>
      <c r="AC200" s="61"/>
      <c r="AD200" s="64"/>
      <c r="AE200" s="61"/>
    </row>
    <row r="201" spans="1:3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4"/>
      <c r="U201" s="64"/>
      <c r="V201" s="62"/>
      <c r="W201" s="61"/>
      <c r="X201" s="61"/>
      <c r="Y201" s="61"/>
      <c r="Z201" s="61"/>
      <c r="AA201" s="61"/>
      <c r="AB201" s="62"/>
      <c r="AC201" s="61"/>
      <c r="AD201" s="64"/>
      <c r="AE201" s="61"/>
    </row>
    <row r="202" spans="1:31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4"/>
      <c r="U202" s="64"/>
      <c r="V202" s="62"/>
      <c r="W202" s="61"/>
      <c r="X202" s="61"/>
      <c r="Y202" s="61"/>
      <c r="Z202" s="61"/>
      <c r="AA202" s="61"/>
      <c r="AB202" s="62"/>
      <c r="AC202" s="61"/>
      <c r="AD202" s="64"/>
      <c r="AE202" s="61"/>
    </row>
    <row r="203" spans="1:31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4"/>
      <c r="U203" s="64"/>
      <c r="V203" s="62"/>
      <c r="W203" s="61"/>
      <c r="X203" s="61"/>
      <c r="Y203" s="61"/>
      <c r="Z203" s="61"/>
      <c r="AA203" s="61"/>
      <c r="AB203" s="62"/>
      <c r="AC203" s="61"/>
      <c r="AD203" s="64"/>
      <c r="AE203" s="61"/>
    </row>
    <row r="204" spans="1:31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4"/>
      <c r="U204" s="64"/>
      <c r="V204" s="62"/>
      <c r="W204" s="61"/>
      <c r="X204" s="61"/>
      <c r="Y204" s="61"/>
      <c r="Z204" s="61"/>
      <c r="AA204" s="61"/>
      <c r="AB204" s="62"/>
      <c r="AC204" s="61"/>
      <c r="AD204" s="64"/>
      <c r="AE204" s="61"/>
    </row>
    <row r="205" spans="1:31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4"/>
      <c r="U205" s="64"/>
      <c r="V205" s="62"/>
      <c r="W205" s="61"/>
      <c r="X205" s="61"/>
      <c r="Y205" s="61"/>
      <c r="Z205" s="61"/>
      <c r="AA205" s="61"/>
      <c r="AB205" s="62"/>
      <c r="AC205" s="61"/>
      <c r="AD205" s="64"/>
      <c r="AE205" s="61"/>
    </row>
    <row r="206" spans="1:31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4"/>
      <c r="U206" s="64"/>
      <c r="V206" s="62"/>
      <c r="W206" s="61"/>
      <c r="X206" s="61"/>
      <c r="Y206" s="61"/>
      <c r="Z206" s="61"/>
      <c r="AA206" s="61"/>
      <c r="AB206" s="62"/>
      <c r="AC206" s="61"/>
      <c r="AD206" s="64"/>
      <c r="AE206" s="61"/>
    </row>
    <row r="207" spans="1:31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4"/>
      <c r="U207" s="64"/>
      <c r="V207" s="62"/>
      <c r="W207" s="61"/>
      <c r="X207" s="61"/>
      <c r="Y207" s="61"/>
      <c r="Z207" s="61"/>
      <c r="AA207" s="61"/>
      <c r="AB207" s="62"/>
      <c r="AC207" s="61"/>
      <c r="AD207" s="64"/>
      <c r="AE207" s="61"/>
    </row>
    <row r="208" spans="1:31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4"/>
      <c r="U208" s="64"/>
      <c r="V208" s="62"/>
      <c r="W208" s="61"/>
      <c r="X208" s="61"/>
      <c r="Y208" s="61"/>
      <c r="Z208" s="61"/>
      <c r="AA208" s="61"/>
      <c r="AB208" s="62"/>
      <c r="AC208" s="61"/>
      <c r="AD208" s="64"/>
      <c r="AE208" s="61"/>
    </row>
    <row r="209" spans="1:31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4"/>
      <c r="U209" s="64"/>
      <c r="V209" s="62"/>
      <c r="W209" s="61"/>
      <c r="X209" s="61"/>
      <c r="Y209" s="61"/>
      <c r="Z209" s="61"/>
      <c r="AA209" s="61"/>
      <c r="AB209" s="62"/>
      <c r="AC209" s="61"/>
      <c r="AD209" s="64"/>
      <c r="AE209" s="61"/>
    </row>
    <row r="210" spans="1:31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4"/>
      <c r="U210" s="64"/>
      <c r="V210" s="62"/>
      <c r="W210" s="61"/>
      <c r="X210" s="61"/>
      <c r="Y210" s="61"/>
      <c r="Z210" s="61"/>
      <c r="AA210" s="61"/>
      <c r="AB210" s="62"/>
      <c r="AC210" s="61"/>
      <c r="AD210" s="64"/>
      <c r="AE210" s="61"/>
    </row>
    <row r="211" spans="1:3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4"/>
      <c r="U211" s="64"/>
      <c r="V211" s="62"/>
      <c r="W211" s="61"/>
      <c r="X211" s="61"/>
      <c r="Y211" s="61"/>
      <c r="Z211" s="61"/>
      <c r="AA211" s="61"/>
      <c r="AB211" s="62"/>
      <c r="AC211" s="61"/>
      <c r="AD211" s="64"/>
      <c r="AE211" s="61"/>
    </row>
    <row r="212" spans="1:31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4"/>
      <c r="U212" s="64"/>
      <c r="V212" s="62"/>
      <c r="W212" s="61"/>
      <c r="X212" s="61"/>
      <c r="Y212" s="61"/>
      <c r="Z212" s="61"/>
      <c r="AA212" s="61"/>
      <c r="AB212" s="62"/>
      <c r="AC212" s="61"/>
      <c r="AD212" s="64"/>
      <c r="AE212" s="61"/>
    </row>
    <row r="213" spans="1:31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4"/>
      <c r="U213" s="64"/>
      <c r="V213" s="62"/>
      <c r="W213" s="61"/>
      <c r="X213" s="61"/>
      <c r="Y213" s="61"/>
      <c r="Z213" s="61"/>
      <c r="AA213" s="61"/>
      <c r="AB213" s="62"/>
      <c r="AC213" s="61"/>
      <c r="AD213" s="64"/>
      <c r="AE213" s="61"/>
    </row>
    <row r="214" spans="1:31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4"/>
      <c r="U214" s="64"/>
      <c r="V214" s="62"/>
      <c r="W214" s="61"/>
      <c r="X214" s="61"/>
      <c r="Y214" s="61"/>
      <c r="Z214" s="61"/>
      <c r="AA214" s="61"/>
      <c r="AB214" s="62"/>
      <c r="AC214" s="61"/>
      <c r="AD214" s="64"/>
      <c r="AE214" s="61"/>
    </row>
    <row r="215" spans="1:31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4"/>
      <c r="U215" s="64"/>
      <c r="V215" s="62"/>
      <c r="W215" s="61"/>
      <c r="X215" s="61"/>
      <c r="Y215" s="61"/>
      <c r="Z215" s="61"/>
      <c r="AA215" s="61"/>
      <c r="AB215" s="62"/>
      <c r="AC215" s="61"/>
      <c r="AD215" s="64"/>
      <c r="AE215" s="61"/>
    </row>
    <row r="216" spans="1:31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4"/>
      <c r="U216" s="64"/>
      <c r="V216" s="62"/>
      <c r="W216" s="61"/>
      <c r="X216" s="61"/>
      <c r="Y216" s="61"/>
      <c r="Z216" s="61"/>
      <c r="AA216" s="61"/>
      <c r="AB216" s="62"/>
      <c r="AC216" s="61"/>
      <c r="AD216" s="64"/>
      <c r="AE216" s="61"/>
    </row>
    <row r="217" spans="1:31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4"/>
      <c r="U217" s="64"/>
      <c r="V217" s="62"/>
      <c r="W217" s="61"/>
      <c r="X217" s="61"/>
      <c r="Y217" s="61"/>
      <c r="Z217" s="61"/>
      <c r="AA217" s="61"/>
      <c r="AB217" s="62"/>
      <c r="AC217" s="61"/>
      <c r="AD217" s="64"/>
      <c r="AE217" s="61"/>
    </row>
    <row r="218" spans="1:31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4"/>
      <c r="U218" s="64"/>
      <c r="V218" s="62"/>
      <c r="W218" s="61"/>
      <c r="X218" s="61"/>
      <c r="Y218" s="61"/>
      <c r="Z218" s="61"/>
      <c r="AA218" s="61"/>
      <c r="AB218" s="62"/>
      <c r="AC218" s="61"/>
      <c r="AD218" s="64"/>
      <c r="AE218" s="61"/>
    </row>
    <row r="219" spans="1:31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4"/>
      <c r="U219" s="64"/>
      <c r="V219" s="62"/>
      <c r="W219" s="61"/>
      <c r="X219" s="61"/>
      <c r="Y219" s="61"/>
      <c r="Z219" s="61"/>
      <c r="AA219" s="61"/>
      <c r="AB219" s="62"/>
      <c r="AC219" s="61"/>
      <c r="AD219" s="64"/>
      <c r="AE219" s="61"/>
    </row>
    <row r="220" spans="1:31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4"/>
      <c r="U220" s="64"/>
      <c r="V220" s="62"/>
      <c r="W220" s="61"/>
      <c r="X220" s="61"/>
      <c r="Y220" s="61"/>
      <c r="Z220" s="61"/>
      <c r="AA220" s="61"/>
      <c r="AB220" s="62"/>
      <c r="AC220" s="61"/>
      <c r="AD220" s="64"/>
      <c r="AE220" s="61"/>
    </row>
    <row r="221" spans="1:3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4"/>
      <c r="U221" s="64"/>
      <c r="V221" s="62"/>
      <c r="W221" s="61"/>
      <c r="X221" s="61"/>
      <c r="Y221" s="61"/>
      <c r="Z221" s="61"/>
      <c r="AA221" s="61"/>
      <c r="AB221" s="62"/>
      <c r="AC221" s="61"/>
      <c r="AD221" s="64"/>
      <c r="AE221" s="61"/>
    </row>
    <row r="222" spans="1:31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4"/>
      <c r="U222" s="64"/>
      <c r="V222" s="62"/>
      <c r="W222" s="61"/>
      <c r="X222" s="61"/>
      <c r="Y222" s="61"/>
      <c r="Z222" s="61"/>
      <c r="AA222" s="61"/>
      <c r="AB222" s="62"/>
      <c r="AC222" s="61"/>
      <c r="AD222" s="64"/>
      <c r="AE222" s="61"/>
    </row>
    <row r="223" spans="1:31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4"/>
      <c r="U223" s="64"/>
      <c r="V223" s="62"/>
      <c r="W223" s="61"/>
      <c r="X223" s="61"/>
      <c r="Y223" s="61"/>
      <c r="Z223" s="61"/>
      <c r="AA223" s="61"/>
      <c r="AB223" s="62"/>
      <c r="AC223" s="61"/>
      <c r="AD223" s="64"/>
      <c r="AE223" s="61"/>
    </row>
    <row r="224" spans="1:31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4"/>
      <c r="U224" s="64"/>
      <c r="V224" s="62"/>
      <c r="W224" s="61"/>
      <c r="X224" s="61"/>
      <c r="Y224" s="61"/>
      <c r="Z224" s="61"/>
      <c r="AA224" s="61"/>
      <c r="AB224" s="62"/>
      <c r="AC224" s="61"/>
      <c r="AD224" s="64"/>
      <c r="AE224" s="61"/>
    </row>
    <row r="225" spans="1:31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4"/>
      <c r="U225" s="64"/>
      <c r="V225" s="62"/>
      <c r="W225" s="61"/>
      <c r="X225" s="61"/>
      <c r="Y225" s="61"/>
      <c r="Z225" s="61"/>
      <c r="AA225" s="61"/>
      <c r="AB225" s="62"/>
      <c r="AC225" s="61"/>
      <c r="AD225" s="64"/>
      <c r="AE225" s="61"/>
    </row>
    <row r="226" spans="1:31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4"/>
      <c r="U226" s="64"/>
      <c r="V226" s="62"/>
      <c r="W226" s="61"/>
      <c r="X226" s="61"/>
      <c r="Y226" s="61"/>
      <c r="Z226" s="61"/>
      <c r="AA226" s="61"/>
      <c r="AB226" s="62"/>
      <c r="AC226" s="61"/>
      <c r="AD226" s="64"/>
      <c r="AE226" s="61"/>
    </row>
    <row r="227" spans="1:31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4"/>
      <c r="U227" s="64"/>
      <c r="V227" s="62"/>
      <c r="W227" s="61"/>
      <c r="X227" s="61"/>
      <c r="Y227" s="61"/>
      <c r="Z227" s="61"/>
      <c r="AA227" s="61"/>
      <c r="AB227" s="62"/>
      <c r="AC227" s="61"/>
      <c r="AD227" s="64"/>
      <c r="AE227" s="61"/>
    </row>
    <row r="228" spans="1:31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4"/>
      <c r="U228" s="64"/>
      <c r="V228" s="62"/>
      <c r="W228" s="61"/>
      <c r="X228" s="61"/>
      <c r="Y228" s="61"/>
      <c r="Z228" s="61"/>
      <c r="AA228" s="61"/>
      <c r="AB228" s="62"/>
      <c r="AC228" s="61"/>
      <c r="AD228" s="64"/>
      <c r="AE228" s="61"/>
    </row>
    <row r="229" spans="1:31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4"/>
      <c r="U229" s="64"/>
      <c r="V229" s="62"/>
      <c r="W229" s="61"/>
      <c r="X229" s="61"/>
      <c r="Y229" s="61"/>
      <c r="Z229" s="61"/>
      <c r="AA229" s="61"/>
      <c r="AB229" s="62"/>
      <c r="AC229" s="61"/>
      <c r="AD229" s="64"/>
      <c r="AE229" s="61"/>
    </row>
    <row r="230" spans="1:31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4"/>
      <c r="U230" s="64"/>
      <c r="V230" s="62"/>
      <c r="W230" s="61"/>
      <c r="X230" s="61"/>
      <c r="Y230" s="61"/>
      <c r="Z230" s="61"/>
      <c r="AA230" s="61"/>
      <c r="AB230" s="62"/>
      <c r="AC230" s="61"/>
      <c r="AD230" s="64"/>
      <c r="AE230" s="61"/>
    </row>
    <row r="231" spans="1: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4"/>
      <c r="U231" s="64"/>
      <c r="V231" s="62"/>
      <c r="W231" s="61"/>
      <c r="X231" s="61"/>
      <c r="Y231" s="61"/>
      <c r="Z231" s="61"/>
      <c r="AA231" s="61"/>
      <c r="AB231" s="62"/>
      <c r="AC231" s="61"/>
      <c r="AD231" s="64"/>
      <c r="AE231" s="61"/>
    </row>
    <row r="232" spans="1:31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4"/>
      <c r="U232" s="64"/>
      <c r="V232" s="62"/>
      <c r="W232" s="61"/>
      <c r="X232" s="61"/>
      <c r="Y232" s="61"/>
      <c r="Z232" s="61"/>
      <c r="AA232" s="61"/>
      <c r="AB232" s="62"/>
      <c r="AC232" s="61"/>
      <c r="AD232" s="64"/>
      <c r="AE232" s="61"/>
    </row>
    <row r="233" spans="1:31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4"/>
      <c r="U233" s="64"/>
      <c r="V233" s="62"/>
      <c r="W233" s="61"/>
      <c r="X233" s="61"/>
      <c r="Y233" s="61"/>
      <c r="Z233" s="61"/>
      <c r="AA233" s="61"/>
      <c r="AB233" s="62"/>
      <c r="AC233" s="61"/>
      <c r="AD233" s="64"/>
      <c r="AE233" s="61"/>
    </row>
    <row r="234" spans="1:31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4"/>
      <c r="U234" s="64"/>
      <c r="V234" s="62"/>
      <c r="W234" s="61"/>
      <c r="X234" s="61"/>
      <c r="Y234" s="61"/>
      <c r="Z234" s="61"/>
      <c r="AA234" s="61"/>
      <c r="AB234" s="62"/>
      <c r="AC234" s="61"/>
      <c r="AD234" s="64"/>
      <c r="AE234" s="61"/>
    </row>
    <row r="235" spans="1:31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4"/>
      <c r="U235" s="64"/>
      <c r="V235" s="62"/>
      <c r="W235" s="61"/>
      <c r="X235" s="61"/>
      <c r="Y235" s="61"/>
      <c r="Z235" s="61"/>
      <c r="AA235" s="61"/>
      <c r="AB235" s="62"/>
      <c r="AC235" s="61"/>
      <c r="AD235" s="64"/>
      <c r="AE235" s="61"/>
    </row>
    <row r="236" spans="1:31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4"/>
      <c r="U236" s="64"/>
      <c r="V236" s="62"/>
      <c r="W236" s="61"/>
      <c r="X236" s="61"/>
      <c r="Y236" s="61"/>
      <c r="Z236" s="61"/>
      <c r="AA236" s="61"/>
      <c r="AB236" s="62"/>
      <c r="AC236" s="61"/>
      <c r="AD236" s="64"/>
      <c r="AE236" s="61"/>
    </row>
    <row r="237" spans="1:31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4"/>
      <c r="U237" s="64"/>
      <c r="V237" s="62"/>
      <c r="W237" s="61"/>
      <c r="X237" s="61"/>
      <c r="Y237" s="61"/>
      <c r="Z237" s="61"/>
      <c r="AA237" s="61"/>
      <c r="AB237" s="62"/>
      <c r="AC237" s="61"/>
      <c r="AD237" s="64"/>
      <c r="AE237" s="61"/>
    </row>
    <row r="238" spans="1:31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4"/>
      <c r="U238" s="64"/>
      <c r="V238" s="62"/>
      <c r="W238" s="61"/>
      <c r="X238" s="61"/>
      <c r="Y238" s="61"/>
      <c r="Z238" s="61"/>
      <c r="AA238" s="61"/>
      <c r="AB238" s="62"/>
      <c r="AC238" s="61"/>
      <c r="AD238" s="64"/>
      <c r="AE238" s="61"/>
    </row>
    <row r="239" spans="1:31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4"/>
      <c r="U239" s="64"/>
      <c r="V239" s="62"/>
      <c r="W239" s="61"/>
      <c r="X239" s="61"/>
      <c r="Y239" s="61"/>
      <c r="Z239" s="61"/>
      <c r="AA239" s="61"/>
      <c r="AB239" s="62"/>
      <c r="AC239" s="61"/>
      <c r="AD239" s="64"/>
      <c r="AE239" s="61"/>
    </row>
    <row r="240" spans="1:31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4"/>
      <c r="U240" s="64"/>
      <c r="V240" s="62"/>
      <c r="W240" s="61"/>
      <c r="X240" s="61"/>
      <c r="Y240" s="61"/>
      <c r="Z240" s="61"/>
      <c r="AA240" s="61"/>
      <c r="AB240" s="62"/>
      <c r="AC240" s="61"/>
      <c r="AD240" s="64"/>
      <c r="AE240" s="61"/>
    </row>
    <row r="241" spans="1:3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4"/>
      <c r="U241" s="64"/>
      <c r="V241" s="62"/>
      <c r="W241" s="61"/>
      <c r="X241" s="61"/>
      <c r="Y241" s="61"/>
      <c r="Z241" s="61"/>
      <c r="AA241" s="61"/>
      <c r="AB241" s="62"/>
      <c r="AC241" s="61"/>
      <c r="AD241" s="64"/>
      <c r="AE241" s="61"/>
    </row>
    <row r="242" spans="1:31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4"/>
      <c r="U242" s="64"/>
      <c r="V242" s="62"/>
      <c r="W242" s="61"/>
      <c r="X242" s="61"/>
      <c r="Y242" s="61"/>
      <c r="Z242" s="61"/>
      <c r="AA242" s="61"/>
      <c r="AB242" s="62"/>
      <c r="AC242" s="61"/>
      <c r="AD242" s="64"/>
      <c r="AE242" s="61"/>
    </row>
    <row r="243" spans="1:31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4"/>
      <c r="U243" s="64"/>
      <c r="V243" s="62"/>
      <c r="W243" s="61"/>
      <c r="X243" s="61"/>
      <c r="Y243" s="61"/>
      <c r="Z243" s="61"/>
      <c r="AA243" s="61"/>
      <c r="AB243" s="62"/>
      <c r="AC243" s="61"/>
      <c r="AD243" s="64"/>
      <c r="AE243" s="61"/>
    </row>
    <row r="244" spans="1:31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4"/>
      <c r="U244" s="64"/>
      <c r="V244" s="62"/>
      <c r="W244" s="61"/>
      <c r="X244" s="61"/>
      <c r="Y244" s="61"/>
      <c r="Z244" s="61"/>
      <c r="AA244" s="61"/>
      <c r="AB244" s="62"/>
      <c r="AC244" s="61"/>
      <c r="AD244" s="64"/>
      <c r="AE244" s="61"/>
    </row>
    <row r="245" spans="1:31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4"/>
      <c r="U245" s="64"/>
      <c r="V245" s="62"/>
      <c r="W245" s="61"/>
      <c r="X245" s="61"/>
      <c r="Y245" s="61"/>
      <c r="Z245" s="61"/>
      <c r="AA245" s="61"/>
      <c r="AB245" s="62"/>
      <c r="AC245" s="61"/>
      <c r="AD245" s="64"/>
      <c r="AE245" s="61"/>
    </row>
    <row r="246" spans="1:31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4"/>
      <c r="U246" s="64"/>
      <c r="V246" s="62"/>
      <c r="W246" s="61"/>
      <c r="X246" s="61"/>
      <c r="Y246" s="61"/>
      <c r="Z246" s="61"/>
      <c r="AA246" s="61"/>
      <c r="AB246" s="62"/>
      <c r="AC246" s="61"/>
      <c r="AD246" s="64"/>
      <c r="AE246" s="61"/>
    </row>
    <row r="247" spans="1:31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4"/>
      <c r="U247" s="64"/>
      <c r="V247" s="62"/>
      <c r="W247" s="61"/>
      <c r="X247" s="61"/>
      <c r="Y247" s="61"/>
      <c r="Z247" s="61"/>
      <c r="AA247" s="61"/>
      <c r="AB247" s="62"/>
      <c r="AC247" s="61"/>
      <c r="AD247" s="64"/>
      <c r="AE247" s="61"/>
    </row>
    <row r="248" spans="1:31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4"/>
      <c r="U248" s="64"/>
      <c r="V248" s="62"/>
      <c r="W248" s="61"/>
      <c r="X248" s="61"/>
      <c r="Y248" s="61"/>
      <c r="Z248" s="61"/>
      <c r="AA248" s="61"/>
      <c r="AB248" s="62"/>
      <c r="AC248" s="61"/>
      <c r="AD248" s="64"/>
      <c r="AE248" s="61"/>
    </row>
    <row r="249" spans="1:31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4"/>
      <c r="U249" s="64"/>
      <c r="V249" s="62"/>
      <c r="W249" s="61"/>
      <c r="X249" s="61"/>
      <c r="Y249" s="61"/>
      <c r="Z249" s="61"/>
      <c r="AA249" s="61"/>
      <c r="AB249" s="62"/>
      <c r="AC249" s="61"/>
      <c r="AD249" s="64"/>
      <c r="AE249" s="61"/>
    </row>
    <row r="250" spans="1:31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4"/>
      <c r="U250" s="64"/>
      <c r="V250" s="62"/>
      <c r="W250" s="61"/>
      <c r="X250" s="61"/>
      <c r="Y250" s="61"/>
      <c r="Z250" s="61"/>
      <c r="AA250" s="61"/>
      <c r="AB250" s="62"/>
      <c r="AC250" s="61"/>
      <c r="AD250" s="64"/>
      <c r="AE250" s="61"/>
    </row>
    <row r="251" spans="1:3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4"/>
      <c r="U251" s="64"/>
      <c r="V251" s="62"/>
      <c r="W251" s="61"/>
      <c r="X251" s="61"/>
      <c r="Y251" s="61"/>
      <c r="Z251" s="61"/>
      <c r="AA251" s="61"/>
      <c r="AB251" s="62"/>
      <c r="AC251" s="61"/>
      <c r="AD251" s="64"/>
      <c r="AE251" s="61"/>
    </row>
    <row r="252" spans="1:31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4"/>
      <c r="U252" s="64"/>
      <c r="V252" s="62"/>
      <c r="W252" s="61"/>
      <c r="X252" s="61"/>
      <c r="Y252" s="61"/>
      <c r="Z252" s="61"/>
      <c r="AA252" s="61"/>
      <c r="AB252" s="62"/>
      <c r="AC252" s="61"/>
      <c r="AD252" s="64"/>
      <c r="AE252" s="61"/>
    </row>
    <row r="253" spans="1:31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4"/>
      <c r="U253" s="64"/>
      <c r="V253" s="62"/>
      <c r="W253" s="61"/>
      <c r="X253" s="61"/>
      <c r="Y253" s="61"/>
      <c r="Z253" s="61"/>
      <c r="AA253" s="61"/>
      <c r="AB253" s="62"/>
      <c r="AC253" s="61"/>
      <c r="AD253" s="64"/>
      <c r="AE253" s="61"/>
    </row>
    <row r="254" spans="1:31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4"/>
      <c r="U254" s="64"/>
      <c r="V254" s="62"/>
      <c r="W254" s="61"/>
      <c r="X254" s="61"/>
      <c r="Y254" s="61"/>
      <c r="Z254" s="61"/>
      <c r="AA254" s="61"/>
      <c r="AB254" s="62"/>
      <c r="AC254" s="61"/>
      <c r="AD254" s="64"/>
      <c r="AE254" s="61"/>
    </row>
    <row r="255" spans="1:31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4"/>
      <c r="U255" s="64"/>
      <c r="V255" s="62"/>
      <c r="W255" s="61"/>
      <c r="X255" s="61"/>
      <c r="Y255" s="61"/>
      <c r="Z255" s="61"/>
      <c r="AA255" s="61"/>
      <c r="AB255" s="62"/>
      <c r="AC255" s="61"/>
      <c r="AD255" s="64"/>
      <c r="AE255" s="61"/>
    </row>
    <row r="256" spans="1:31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4"/>
      <c r="U256" s="64"/>
      <c r="V256" s="62"/>
      <c r="W256" s="61"/>
      <c r="X256" s="61"/>
      <c r="Y256" s="61"/>
      <c r="Z256" s="61"/>
      <c r="AA256" s="61"/>
      <c r="AB256" s="62"/>
      <c r="AC256" s="61"/>
      <c r="AD256" s="64"/>
      <c r="AE256" s="61"/>
    </row>
    <row r="257" spans="1:31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4"/>
      <c r="U257" s="64"/>
      <c r="V257" s="62"/>
      <c r="W257" s="61"/>
      <c r="X257" s="61"/>
      <c r="Y257" s="61"/>
      <c r="Z257" s="61"/>
      <c r="AA257" s="61"/>
      <c r="AB257" s="62"/>
      <c r="AC257" s="61"/>
      <c r="AD257" s="64"/>
      <c r="AE257" s="61"/>
    </row>
    <row r="258" spans="1:31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4"/>
      <c r="U258" s="64"/>
      <c r="V258" s="62"/>
      <c r="W258" s="61"/>
      <c r="X258" s="61"/>
      <c r="Y258" s="61"/>
      <c r="Z258" s="61"/>
      <c r="AA258" s="61"/>
      <c r="AB258" s="62"/>
      <c r="AC258" s="61"/>
      <c r="AD258" s="64"/>
      <c r="AE258" s="61"/>
    </row>
    <row r="259" spans="1:31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4"/>
      <c r="U259" s="64"/>
      <c r="V259" s="62"/>
      <c r="W259" s="61"/>
      <c r="X259" s="61"/>
      <c r="Y259" s="61"/>
      <c r="Z259" s="61"/>
      <c r="AA259" s="61"/>
      <c r="AB259" s="62"/>
      <c r="AC259" s="61"/>
      <c r="AD259" s="64"/>
      <c r="AE259" s="61"/>
    </row>
    <row r="260" spans="1:31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4"/>
      <c r="U260" s="64"/>
      <c r="V260" s="62"/>
      <c r="W260" s="61"/>
      <c r="X260" s="61"/>
      <c r="Y260" s="61"/>
      <c r="Z260" s="61"/>
      <c r="AA260" s="61"/>
      <c r="AB260" s="62"/>
      <c r="AC260" s="61"/>
      <c r="AD260" s="64"/>
      <c r="AE260" s="61"/>
    </row>
    <row r="261" spans="1:3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4"/>
      <c r="U261" s="64"/>
      <c r="V261" s="62"/>
      <c r="W261" s="61"/>
      <c r="X261" s="61"/>
      <c r="Y261" s="61"/>
      <c r="Z261" s="61"/>
      <c r="AA261" s="61"/>
      <c r="AB261" s="62"/>
      <c r="AC261" s="61"/>
      <c r="AD261" s="64"/>
      <c r="AE261" s="61"/>
    </row>
    <row r="262" spans="1:31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4"/>
      <c r="U262" s="64"/>
      <c r="V262" s="62"/>
      <c r="W262" s="61"/>
      <c r="X262" s="61"/>
      <c r="Y262" s="61"/>
      <c r="Z262" s="61"/>
      <c r="AA262" s="61"/>
      <c r="AB262" s="62"/>
      <c r="AC262" s="61"/>
      <c r="AD262" s="64"/>
      <c r="AE262" s="61"/>
    </row>
    <row r="263" spans="1:31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4"/>
      <c r="U263" s="64"/>
      <c r="V263" s="62"/>
      <c r="W263" s="61"/>
      <c r="X263" s="61"/>
      <c r="Y263" s="61"/>
      <c r="Z263" s="61"/>
      <c r="AA263" s="61"/>
      <c r="AB263" s="62"/>
      <c r="AC263" s="61"/>
      <c r="AD263" s="64"/>
      <c r="AE263" s="61"/>
    </row>
    <row r="264" spans="1:31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4"/>
      <c r="U264" s="64"/>
      <c r="V264" s="62"/>
      <c r="W264" s="61"/>
      <c r="X264" s="61"/>
      <c r="Y264" s="61"/>
      <c r="Z264" s="61"/>
      <c r="AA264" s="61"/>
      <c r="AB264" s="62"/>
      <c r="AC264" s="61"/>
      <c r="AD264" s="64"/>
      <c r="AE264" s="61"/>
    </row>
    <row r="265" spans="1:31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4"/>
      <c r="U265" s="64"/>
      <c r="V265" s="62"/>
      <c r="W265" s="61"/>
      <c r="X265" s="61"/>
      <c r="Y265" s="61"/>
      <c r="Z265" s="61"/>
      <c r="AA265" s="61"/>
      <c r="AB265" s="62"/>
      <c r="AC265" s="61"/>
      <c r="AD265" s="64"/>
      <c r="AE265" s="61"/>
    </row>
    <row r="266" spans="1:31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4"/>
      <c r="U266" s="64"/>
      <c r="V266" s="62"/>
      <c r="W266" s="61"/>
      <c r="X266" s="61"/>
      <c r="Y266" s="61"/>
      <c r="Z266" s="61"/>
      <c r="AA266" s="61"/>
      <c r="AB266" s="62"/>
      <c r="AC266" s="61"/>
      <c r="AD266" s="64"/>
      <c r="AE266" s="61"/>
    </row>
    <row r="267" spans="1:31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4"/>
      <c r="U267" s="64"/>
      <c r="V267" s="62"/>
      <c r="W267" s="61"/>
      <c r="X267" s="61"/>
      <c r="Y267" s="61"/>
      <c r="Z267" s="61"/>
      <c r="AA267" s="61"/>
      <c r="AB267" s="62"/>
      <c r="AC267" s="61"/>
      <c r="AD267" s="64"/>
      <c r="AE267" s="61"/>
    </row>
    <row r="268" spans="1:31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4"/>
      <c r="U268" s="64"/>
      <c r="V268" s="62"/>
      <c r="W268" s="61"/>
      <c r="X268" s="61"/>
      <c r="Y268" s="61"/>
      <c r="Z268" s="61"/>
      <c r="AA268" s="61"/>
      <c r="AB268" s="62"/>
      <c r="AC268" s="61"/>
      <c r="AD268" s="64"/>
      <c r="AE268" s="61"/>
    </row>
    <row r="269" spans="1:31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4"/>
      <c r="U269" s="64"/>
      <c r="V269" s="62"/>
      <c r="W269" s="61"/>
      <c r="X269" s="61"/>
      <c r="Y269" s="61"/>
      <c r="Z269" s="61"/>
      <c r="AA269" s="61"/>
      <c r="AB269" s="62"/>
      <c r="AC269" s="61"/>
      <c r="AD269" s="64"/>
      <c r="AE269" s="61"/>
    </row>
    <row r="270" spans="1:31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4"/>
      <c r="U270" s="64"/>
      <c r="V270" s="62"/>
      <c r="W270" s="61"/>
      <c r="X270" s="61"/>
      <c r="Y270" s="61"/>
      <c r="Z270" s="61"/>
      <c r="AA270" s="61"/>
      <c r="AB270" s="62"/>
      <c r="AC270" s="61"/>
      <c r="AD270" s="64"/>
      <c r="AE270" s="61"/>
    </row>
    <row r="271" spans="1:3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4"/>
      <c r="U271" s="64"/>
      <c r="V271" s="62"/>
      <c r="W271" s="61"/>
      <c r="X271" s="61"/>
      <c r="Y271" s="61"/>
      <c r="Z271" s="61"/>
      <c r="AA271" s="61"/>
      <c r="AB271" s="62"/>
      <c r="AC271" s="61"/>
      <c r="AD271" s="64"/>
      <c r="AE271" s="61"/>
    </row>
    <row r="272" spans="1:31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4"/>
      <c r="U272" s="64"/>
      <c r="V272" s="62"/>
      <c r="W272" s="61"/>
      <c r="X272" s="61"/>
      <c r="Y272" s="61"/>
      <c r="Z272" s="61"/>
      <c r="AA272" s="61"/>
      <c r="AB272" s="62"/>
      <c r="AC272" s="61"/>
      <c r="AD272" s="64"/>
      <c r="AE272" s="61"/>
    </row>
    <row r="273" spans="1:31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4"/>
      <c r="U273" s="64"/>
      <c r="V273" s="62"/>
      <c r="W273" s="61"/>
      <c r="X273" s="61"/>
      <c r="Y273" s="61"/>
      <c r="Z273" s="61"/>
      <c r="AA273" s="61"/>
      <c r="AB273" s="62"/>
      <c r="AC273" s="61"/>
      <c r="AD273" s="64"/>
      <c r="AE273" s="61"/>
    </row>
    <row r="274" spans="1:31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4"/>
      <c r="U274" s="64"/>
      <c r="V274" s="62"/>
      <c r="W274" s="61"/>
      <c r="X274" s="61"/>
      <c r="Y274" s="61"/>
      <c r="Z274" s="61"/>
      <c r="AA274" s="61"/>
      <c r="AB274" s="62"/>
      <c r="AC274" s="61"/>
      <c r="AD274" s="64"/>
      <c r="AE274" s="61"/>
    </row>
    <row r="275" spans="1:31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4"/>
      <c r="U275" s="64"/>
      <c r="V275" s="62"/>
      <c r="W275" s="61"/>
      <c r="X275" s="61"/>
      <c r="Y275" s="61"/>
      <c r="Z275" s="61"/>
      <c r="AA275" s="61"/>
      <c r="AB275" s="62"/>
      <c r="AC275" s="61"/>
      <c r="AD275" s="64"/>
      <c r="AE275" s="61"/>
    </row>
    <row r="276" spans="1:31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4"/>
      <c r="U276" s="64"/>
      <c r="V276" s="62"/>
      <c r="W276" s="61"/>
      <c r="X276" s="61"/>
      <c r="Y276" s="61"/>
      <c r="Z276" s="61"/>
      <c r="AA276" s="61"/>
      <c r="AB276" s="62"/>
      <c r="AC276" s="61"/>
      <c r="AD276" s="64"/>
      <c r="AE276" s="61"/>
    </row>
    <row r="277" spans="1:31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4"/>
      <c r="U277" s="64"/>
      <c r="V277" s="62"/>
      <c r="W277" s="61"/>
      <c r="X277" s="61"/>
      <c r="Y277" s="61"/>
      <c r="Z277" s="61"/>
      <c r="AA277" s="61"/>
      <c r="AB277" s="62"/>
      <c r="AC277" s="61"/>
      <c r="AD277" s="64"/>
      <c r="AE277" s="61"/>
    </row>
    <row r="278" spans="1:31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4"/>
      <c r="U278" s="64"/>
      <c r="V278" s="62"/>
      <c r="W278" s="61"/>
      <c r="X278" s="61"/>
      <c r="Y278" s="61"/>
      <c r="Z278" s="61"/>
      <c r="AA278" s="61"/>
      <c r="AB278" s="62"/>
      <c r="AC278" s="61"/>
      <c r="AD278" s="64"/>
      <c r="AE278" s="61"/>
    </row>
    <row r="279" spans="1:31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4"/>
      <c r="U279" s="64"/>
      <c r="V279" s="62"/>
      <c r="W279" s="61"/>
      <c r="X279" s="61"/>
      <c r="Y279" s="61"/>
      <c r="Z279" s="61"/>
      <c r="AA279" s="61"/>
      <c r="AB279" s="62"/>
      <c r="AC279" s="61"/>
      <c r="AD279" s="64"/>
      <c r="AE279" s="61"/>
    </row>
    <row r="280" spans="1:31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4"/>
      <c r="U280" s="64"/>
      <c r="V280" s="62"/>
      <c r="W280" s="61"/>
      <c r="X280" s="61"/>
      <c r="Y280" s="61"/>
      <c r="Z280" s="61"/>
      <c r="AA280" s="61"/>
      <c r="AB280" s="62"/>
      <c r="AC280" s="61"/>
      <c r="AD280" s="64"/>
      <c r="AE280" s="61"/>
    </row>
    <row r="281" spans="1:3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4"/>
      <c r="U281" s="64"/>
      <c r="V281" s="62"/>
      <c r="W281" s="61"/>
      <c r="X281" s="61"/>
      <c r="Y281" s="61"/>
      <c r="Z281" s="61"/>
      <c r="AA281" s="61"/>
      <c r="AB281" s="62"/>
      <c r="AC281" s="61"/>
      <c r="AD281" s="64"/>
      <c r="AE281" s="61"/>
    </row>
    <row r="282" spans="1:31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4"/>
      <c r="U282" s="64"/>
      <c r="V282" s="62"/>
      <c r="W282" s="61"/>
      <c r="X282" s="61"/>
      <c r="Y282" s="61"/>
      <c r="Z282" s="61"/>
      <c r="AA282" s="61"/>
      <c r="AB282" s="62"/>
      <c r="AC282" s="61"/>
      <c r="AD282" s="64"/>
      <c r="AE282" s="61"/>
    </row>
    <row r="283" spans="1:31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4"/>
      <c r="U283" s="64"/>
      <c r="V283" s="62"/>
      <c r="W283" s="61"/>
      <c r="X283" s="61"/>
      <c r="Y283" s="61"/>
      <c r="Z283" s="61"/>
      <c r="AA283" s="61"/>
      <c r="AB283" s="62"/>
      <c r="AC283" s="61"/>
      <c r="AD283" s="64"/>
      <c r="AE283" s="61"/>
    </row>
    <row r="284" spans="1:31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4"/>
      <c r="U284" s="64"/>
      <c r="V284" s="62"/>
      <c r="W284" s="61"/>
      <c r="X284" s="61"/>
      <c r="Y284" s="61"/>
      <c r="Z284" s="61"/>
      <c r="AA284" s="61"/>
      <c r="AB284" s="62"/>
      <c r="AC284" s="61"/>
      <c r="AD284" s="64"/>
      <c r="AE284" s="61"/>
    </row>
    <row r="285" spans="1:31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4"/>
      <c r="U285" s="64"/>
      <c r="V285" s="62"/>
      <c r="W285" s="61"/>
      <c r="X285" s="61"/>
      <c r="Y285" s="61"/>
      <c r="Z285" s="61"/>
      <c r="AA285" s="61"/>
      <c r="AB285" s="62"/>
      <c r="AC285" s="61"/>
      <c r="AD285" s="64"/>
      <c r="AE285" s="61"/>
    </row>
    <row r="286" spans="1:31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4"/>
      <c r="U286" s="64"/>
      <c r="V286" s="62"/>
      <c r="W286" s="61"/>
      <c r="X286" s="61"/>
      <c r="Y286" s="61"/>
      <c r="Z286" s="61"/>
      <c r="AA286" s="61"/>
      <c r="AB286" s="62"/>
      <c r="AC286" s="61"/>
      <c r="AD286" s="64"/>
      <c r="AE286" s="61"/>
    </row>
    <row r="287" spans="1:31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4"/>
      <c r="U287" s="64"/>
      <c r="V287" s="62"/>
      <c r="W287" s="61"/>
      <c r="X287" s="61"/>
      <c r="Y287" s="61"/>
      <c r="Z287" s="61"/>
      <c r="AA287" s="61"/>
      <c r="AB287" s="62"/>
      <c r="AC287" s="61"/>
      <c r="AD287" s="64"/>
      <c r="AE287" s="61"/>
    </row>
    <row r="288" spans="1:31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4"/>
      <c r="U288" s="64"/>
      <c r="V288" s="62"/>
      <c r="W288" s="61"/>
      <c r="X288" s="61"/>
      <c r="Y288" s="61"/>
      <c r="Z288" s="61"/>
      <c r="AA288" s="61"/>
      <c r="AB288" s="62"/>
      <c r="AC288" s="61"/>
      <c r="AD288" s="64"/>
      <c r="AE288" s="61"/>
    </row>
    <row r="289" spans="1:31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4"/>
      <c r="U289" s="64"/>
      <c r="V289" s="62"/>
      <c r="W289" s="61"/>
      <c r="X289" s="61"/>
      <c r="Y289" s="61"/>
      <c r="Z289" s="61"/>
      <c r="AA289" s="61"/>
      <c r="AB289" s="62"/>
      <c r="AC289" s="61"/>
      <c r="AD289" s="64"/>
      <c r="AE289" s="61"/>
    </row>
    <row r="290" spans="1:31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4"/>
      <c r="U290" s="64"/>
      <c r="V290" s="62"/>
      <c r="W290" s="61"/>
      <c r="X290" s="61"/>
      <c r="Y290" s="61"/>
      <c r="Z290" s="61"/>
      <c r="AA290" s="61"/>
      <c r="AB290" s="62"/>
      <c r="AC290" s="61"/>
      <c r="AD290" s="64"/>
      <c r="AE290" s="61"/>
    </row>
    <row r="291" spans="1:3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4"/>
      <c r="U291" s="64"/>
      <c r="V291" s="62"/>
      <c r="W291" s="61"/>
      <c r="X291" s="61"/>
      <c r="Y291" s="61"/>
      <c r="Z291" s="61"/>
      <c r="AA291" s="61"/>
      <c r="AB291" s="62"/>
      <c r="AC291" s="61"/>
      <c r="AD291" s="64"/>
      <c r="AE291" s="61"/>
    </row>
    <row r="292" spans="1:31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4"/>
      <c r="U292" s="64"/>
      <c r="V292" s="62"/>
      <c r="W292" s="61"/>
      <c r="X292" s="61"/>
      <c r="Y292" s="61"/>
      <c r="Z292" s="61"/>
      <c r="AA292" s="61"/>
      <c r="AB292" s="62"/>
      <c r="AC292" s="61"/>
      <c r="AD292" s="64"/>
      <c r="AE292" s="61"/>
    </row>
    <row r="293" spans="1:31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4"/>
      <c r="U293" s="64"/>
      <c r="V293" s="62"/>
      <c r="W293" s="61"/>
      <c r="X293" s="61"/>
      <c r="Y293" s="61"/>
      <c r="Z293" s="61"/>
      <c r="AA293" s="61"/>
      <c r="AB293" s="62"/>
      <c r="AC293" s="61"/>
      <c r="AD293" s="64"/>
      <c r="AE293" s="61"/>
    </row>
    <row r="294" spans="1:31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4"/>
      <c r="U294" s="64"/>
      <c r="V294" s="62"/>
      <c r="W294" s="61"/>
      <c r="X294" s="61"/>
      <c r="Y294" s="61"/>
      <c r="Z294" s="61"/>
      <c r="AA294" s="61"/>
      <c r="AB294" s="62"/>
      <c r="AC294" s="61"/>
      <c r="AD294" s="64"/>
      <c r="AE294" s="61"/>
    </row>
    <row r="295" spans="1:31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4"/>
      <c r="U295" s="64"/>
      <c r="V295" s="62"/>
      <c r="W295" s="61"/>
      <c r="X295" s="61"/>
      <c r="Y295" s="61"/>
      <c r="Z295" s="61"/>
      <c r="AA295" s="61"/>
      <c r="AB295" s="62"/>
      <c r="AC295" s="61"/>
      <c r="AD295" s="64"/>
      <c r="AE295" s="61"/>
    </row>
    <row r="296" spans="1:31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4"/>
      <c r="U296" s="64"/>
      <c r="V296" s="62"/>
      <c r="W296" s="61"/>
      <c r="X296" s="61"/>
      <c r="Y296" s="61"/>
      <c r="Z296" s="61"/>
      <c r="AA296" s="61"/>
      <c r="AB296" s="62"/>
      <c r="AC296" s="61"/>
      <c r="AD296" s="64"/>
      <c r="AE296" s="61"/>
    </row>
    <row r="297" spans="1:31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4"/>
      <c r="U297" s="64"/>
      <c r="V297" s="62"/>
      <c r="W297" s="61"/>
      <c r="X297" s="61"/>
      <c r="Y297" s="61"/>
      <c r="Z297" s="61"/>
      <c r="AA297" s="61"/>
      <c r="AB297" s="62"/>
      <c r="AC297" s="61"/>
      <c r="AD297" s="64"/>
      <c r="AE297" s="61"/>
    </row>
    <row r="298" spans="1:31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4"/>
      <c r="U298" s="64"/>
      <c r="V298" s="62"/>
      <c r="W298" s="61"/>
      <c r="X298" s="61"/>
      <c r="Y298" s="61"/>
      <c r="Z298" s="61"/>
      <c r="AA298" s="61"/>
      <c r="AB298" s="62"/>
      <c r="AC298" s="61"/>
      <c r="AD298" s="64"/>
      <c r="AE298" s="61"/>
    </row>
    <row r="299" spans="1:31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4"/>
      <c r="U299" s="64"/>
      <c r="V299" s="62"/>
      <c r="W299" s="61"/>
      <c r="X299" s="61"/>
      <c r="Y299" s="61"/>
      <c r="Z299" s="61"/>
      <c r="AA299" s="61"/>
      <c r="AB299" s="62"/>
      <c r="AC299" s="61"/>
      <c r="AD299" s="64"/>
      <c r="AE299" s="61"/>
    </row>
    <row r="300" spans="1:31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4"/>
      <c r="U300" s="64"/>
      <c r="V300" s="62"/>
      <c r="W300" s="61"/>
      <c r="X300" s="61"/>
      <c r="Y300" s="61"/>
      <c r="Z300" s="61"/>
      <c r="AA300" s="61"/>
      <c r="AB300" s="62"/>
      <c r="AC300" s="61"/>
      <c r="AD300" s="64"/>
      <c r="AE300" s="61"/>
    </row>
    <row r="301" spans="1:3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4"/>
      <c r="U301" s="64"/>
      <c r="V301" s="62"/>
      <c r="W301" s="61"/>
      <c r="X301" s="61"/>
      <c r="Y301" s="61"/>
      <c r="Z301" s="61"/>
      <c r="AA301" s="61"/>
      <c r="AB301" s="62"/>
      <c r="AC301" s="61"/>
      <c r="AD301" s="64"/>
      <c r="AE301" s="61"/>
    </row>
    <row r="302" spans="1:31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4"/>
      <c r="U302" s="64"/>
      <c r="V302" s="62"/>
      <c r="W302" s="61"/>
      <c r="X302" s="61"/>
      <c r="Y302" s="61"/>
      <c r="Z302" s="61"/>
      <c r="AA302" s="61"/>
      <c r="AB302" s="62"/>
      <c r="AC302" s="61"/>
      <c r="AD302" s="64"/>
      <c r="AE302" s="61"/>
    </row>
    <row r="303" spans="1:31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4"/>
      <c r="U303" s="64"/>
      <c r="V303" s="62"/>
      <c r="W303" s="61"/>
      <c r="X303" s="61"/>
      <c r="Y303" s="61"/>
      <c r="Z303" s="61"/>
      <c r="AA303" s="61"/>
      <c r="AB303" s="62"/>
      <c r="AC303" s="61"/>
      <c r="AD303" s="64"/>
      <c r="AE303" s="61"/>
    </row>
    <row r="304" spans="1:31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4"/>
      <c r="U304" s="64"/>
      <c r="V304" s="62"/>
      <c r="W304" s="61"/>
      <c r="X304" s="61"/>
      <c r="Y304" s="61"/>
      <c r="Z304" s="61"/>
      <c r="AA304" s="61"/>
      <c r="AB304" s="62"/>
      <c r="AC304" s="61"/>
      <c r="AD304" s="64"/>
      <c r="AE304" s="61"/>
    </row>
    <row r="305" spans="1:31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4"/>
      <c r="U305" s="64"/>
      <c r="V305" s="62"/>
      <c r="W305" s="61"/>
      <c r="X305" s="61"/>
      <c r="Y305" s="61"/>
      <c r="Z305" s="61"/>
      <c r="AA305" s="61"/>
      <c r="AB305" s="62"/>
      <c r="AC305" s="61"/>
      <c r="AD305" s="64"/>
      <c r="AE305" s="61"/>
    </row>
    <row r="306" spans="1:31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4"/>
      <c r="U306" s="64"/>
      <c r="V306" s="62"/>
      <c r="W306" s="61"/>
      <c r="X306" s="61"/>
      <c r="Y306" s="61"/>
      <c r="Z306" s="61"/>
      <c r="AA306" s="61"/>
      <c r="AB306" s="62"/>
      <c r="AC306" s="61"/>
      <c r="AD306" s="64"/>
      <c r="AE306" s="61"/>
    </row>
    <row r="307" spans="1:31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4"/>
      <c r="U307" s="64"/>
      <c r="V307" s="62"/>
      <c r="W307" s="61"/>
      <c r="X307" s="61"/>
      <c r="Y307" s="61"/>
      <c r="Z307" s="61"/>
      <c r="AA307" s="61"/>
      <c r="AB307" s="62"/>
      <c r="AC307" s="61"/>
      <c r="AD307" s="64"/>
      <c r="AE307" s="61"/>
    </row>
    <row r="308" spans="1:31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4"/>
      <c r="U308" s="64"/>
      <c r="V308" s="62"/>
      <c r="W308" s="61"/>
      <c r="X308" s="61"/>
      <c r="Y308" s="61"/>
      <c r="Z308" s="61"/>
      <c r="AA308" s="61"/>
      <c r="AB308" s="62"/>
      <c r="AC308" s="61"/>
      <c r="AD308" s="64"/>
      <c r="AE308" s="61"/>
    </row>
    <row r="309" spans="1:31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4"/>
      <c r="U309" s="64"/>
      <c r="V309" s="62"/>
      <c r="W309" s="61"/>
      <c r="X309" s="61"/>
      <c r="Y309" s="61"/>
      <c r="Z309" s="61"/>
      <c r="AA309" s="61"/>
      <c r="AB309" s="62"/>
      <c r="AC309" s="61"/>
      <c r="AD309" s="64"/>
      <c r="AE309" s="61"/>
    </row>
    <row r="310" spans="1:31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4"/>
      <c r="U310" s="64"/>
      <c r="V310" s="62"/>
      <c r="W310" s="61"/>
      <c r="X310" s="61"/>
      <c r="Y310" s="61"/>
      <c r="Z310" s="61"/>
      <c r="AA310" s="61"/>
      <c r="AB310" s="62"/>
      <c r="AC310" s="61"/>
      <c r="AD310" s="64"/>
      <c r="AE310" s="61"/>
    </row>
    <row r="311" spans="1:3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4"/>
      <c r="U311" s="64"/>
      <c r="V311" s="62"/>
      <c r="W311" s="61"/>
      <c r="X311" s="61"/>
      <c r="Y311" s="61"/>
      <c r="Z311" s="61"/>
      <c r="AA311" s="61"/>
      <c r="AB311" s="62"/>
      <c r="AC311" s="61"/>
      <c r="AD311" s="64"/>
      <c r="AE311" s="61"/>
    </row>
    <row r="312" spans="1:31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4"/>
      <c r="U312" s="64"/>
      <c r="V312" s="62"/>
      <c r="W312" s="61"/>
      <c r="X312" s="61"/>
      <c r="Y312" s="61"/>
      <c r="Z312" s="61"/>
      <c r="AA312" s="61"/>
      <c r="AB312" s="62"/>
      <c r="AC312" s="61"/>
      <c r="AD312" s="64"/>
      <c r="AE312" s="61"/>
    </row>
    <row r="313" spans="1:31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4"/>
      <c r="U313" s="64"/>
      <c r="V313" s="62"/>
      <c r="W313" s="61"/>
      <c r="X313" s="61"/>
      <c r="Y313" s="61"/>
      <c r="Z313" s="61"/>
      <c r="AA313" s="61"/>
      <c r="AB313" s="62"/>
      <c r="AC313" s="61"/>
      <c r="AD313" s="64"/>
      <c r="AE313" s="61"/>
    </row>
    <row r="314" spans="1:31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4"/>
      <c r="U314" s="64"/>
      <c r="V314" s="62"/>
      <c r="W314" s="61"/>
      <c r="X314" s="61"/>
      <c r="Y314" s="61"/>
      <c r="Z314" s="61"/>
      <c r="AA314" s="61"/>
      <c r="AB314" s="62"/>
      <c r="AC314" s="61"/>
      <c r="AD314" s="64"/>
      <c r="AE314" s="61"/>
    </row>
    <row r="315" spans="1:31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4"/>
      <c r="U315" s="64"/>
      <c r="V315" s="62"/>
      <c r="W315" s="61"/>
      <c r="X315" s="61"/>
      <c r="Y315" s="61"/>
      <c r="Z315" s="61"/>
      <c r="AA315" s="61"/>
      <c r="AB315" s="62"/>
      <c r="AC315" s="61"/>
      <c r="AD315" s="64"/>
      <c r="AE315" s="61"/>
    </row>
    <row r="316" spans="1:31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4"/>
      <c r="U316" s="64"/>
      <c r="V316" s="62"/>
      <c r="W316" s="61"/>
      <c r="X316" s="61"/>
      <c r="Y316" s="61"/>
      <c r="Z316" s="61"/>
      <c r="AA316" s="61"/>
      <c r="AB316" s="62"/>
      <c r="AC316" s="61"/>
      <c r="AD316" s="64"/>
      <c r="AE316" s="61"/>
    </row>
    <row r="317" spans="1:31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4"/>
      <c r="U317" s="64"/>
      <c r="V317" s="62"/>
      <c r="W317" s="61"/>
      <c r="X317" s="61"/>
      <c r="Y317" s="61"/>
      <c r="Z317" s="61"/>
      <c r="AA317" s="61"/>
      <c r="AB317" s="62"/>
      <c r="AC317" s="61"/>
      <c r="AD317" s="64"/>
      <c r="AE317" s="61"/>
    </row>
    <row r="318" spans="1:31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4"/>
      <c r="U318" s="64"/>
      <c r="V318" s="62"/>
      <c r="W318" s="61"/>
      <c r="X318" s="61"/>
      <c r="Y318" s="61"/>
      <c r="Z318" s="61"/>
      <c r="AA318" s="61"/>
      <c r="AB318" s="62"/>
      <c r="AC318" s="61"/>
      <c r="AD318" s="64"/>
      <c r="AE318" s="61"/>
    </row>
    <row r="319" spans="1:31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4"/>
      <c r="U319" s="64"/>
      <c r="V319" s="62"/>
      <c r="W319" s="61"/>
      <c r="X319" s="61"/>
      <c r="Y319" s="61"/>
      <c r="Z319" s="61"/>
      <c r="AA319" s="61"/>
      <c r="AB319" s="62"/>
      <c r="AC319" s="61"/>
      <c r="AD319" s="64"/>
      <c r="AE319" s="61"/>
    </row>
    <row r="320" spans="1:31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4"/>
      <c r="U320" s="64"/>
      <c r="V320" s="62"/>
      <c r="W320" s="61"/>
      <c r="X320" s="61"/>
      <c r="Y320" s="61"/>
      <c r="Z320" s="61"/>
      <c r="AA320" s="61"/>
      <c r="AB320" s="62"/>
      <c r="AC320" s="61"/>
      <c r="AD320" s="64"/>
      <c r="AE320" s="61"/>
    </row>
    <row r="321" spans="1:3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4"/>
      <c r="U321" s="64"/>
      <c r="V321" s="62"/>
      <c r="W321" s="61"/>
      <c r="X321" s="61"/>
      <c r="Y321" s="61"/>
      <c r="Z321" s="61"/>
      <c r="AA321" s="61"/>
      <c r="AB321" s="62"/>
      <c r="AC321" s="61"/>
      <c r="AD321" s="64"/>
      <c r="AE321" s="61"/>
    </row>
    <row r="322" spans="1:31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4"/>
      <c r="U322" s="64"/>
      <c r="V322" s="62"/>
      <c r="W322" s="61"/>
      <c r="X322" s="61"/>
      <c r="Y322" s="61"/>
      <c r="Z322" s="61"/>
      <c r="AA322" s="61"/>
      <c r="AB322" s="62"/>
      <c r="AC322" s="61"/>
      <c r="AD322" s="64"/>
      <c r="AE322" s="61"/>
    </row>
    <row r="323" spans="1:31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4"/>
      <c r="U323" s="64"/>
      <c r="V323" s="62"/>
      <c r="W323" s="61"/>
      <c r="X323" s="61"/>
      <c r="Y323" s="61"/>
      <c r="Z323" s="61"/>
      <c r="AA323" s="61"/>
      <c r="AB323" s="62"/>
      <c r="AC323" s="61"/>
      <c r="AD323" s="64"/>
      <c r="AE323" s="61"/>
    </row>
    <row r="324" spans="1:31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4"/>
      <c r="U324" s="64"/>
      <c r="V324" s="62"/>
      <c r="W324" s="61"/>
      <c r="X324" s="61"/>
      <c r="Y324" s="61"/>
      <c r="Z324" s="61"/>
      <c r="AA324" s="61"/>
      <c r="AB324" s="62"/>
      <c r="AC324" s="61"/>
      <c r="AD324" s="64"/>
      <c r="AE324" s="61"/>
    </row>
    <row r="325" spans="1:31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4"/>
      <c r="U325" s="64"/>
      <c r="V325" s="62"/>
      <c r="W325" s="61"/>
      <c r="X325" s="61"/>
      <c r="Y325" s="61"/>
      <c r="Z325" s="61"/>
      <c r="AA325" s="61"/>
      <c r="AB325" s="62"/>
      <c r="AC325" s="61"/>
      <c r="AD325" s="64"/>
      <c r="AE325" s="61"/>
    </row>
    <row r="326" spans="1:31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4"/>
      <c r="U326" s="64"/>
      <c r="V326" s="62"/>
      <c r="W326" s="61"/>
      <c r="X326" s="61"/>
      <c r="Y326" s="61"/>
      <c r="Z326" s="61"/>
      <c r="AA326" s="61"/>
      <c r="AB326" s="62"/>
      <c r="AC326" s="61"/>
      <c r="AD326" s="64"/>
      <c r="AE326" s="61"/>
    </row>
    <row r="327" spans="1:31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4"/>
      <c r="U327" s="64"/>
      <c r="V327" s="62"/>
      <c r="W327" s="61"/>
      <c r="X327" s="61"/>
      <c r="Y327" s="61"/>
      <c r="Z327" s="61"/>
      <c r="AA327" s="61"/>
      <c r="AB327" s="62"/>
      <c r="AC327" s="61"/>
      <c r="AD327" s="64"/>
      <c r="AE327" s="61"/>
    </row>
    <row r="328" spans="1:31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4"/>
      <c r="U328" s="64"/>
      <c r="V328" s="62"/>
      <c r="W328" s="61"/>
      <c r="X328" s="61"/>
      <c r="Y328" s="61"/>
      <c r="Z328" s="61"/>
      <c r="AA328" s="61"/>
      <c r="AB328" s="62"/>
      <c r="AC328" s="61"/>
      <c r="AD328" s="64"/>
      <c r="AE328" s="61"/>
    </row>
    <row r="329" spans="1:31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4"/>
      <c r="U329" s="64"/>
      <c r="V329" s="62"/>
      <c r="W329" s="61"/>
      <c r="X329" s="61"/>
      <c r="Y329" s="61"/>
      <c r="Z329" s="61"/>
      <c r="AA329" s="61"/>
      <c r="AB329" s="62"/>
      <c r="AC329" s="61"/>
      <c r="AD329" s="64"/>
      <c r="AE329" s="61"/>
    </row>
    <row r="330" spans="1:31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4"/>
      <c r="U330" s="64"/>
      <c r="V330" s="62"/>
      <c r="W330" s="61"/>
      <c r="X330" s="61"/>
      <c r="Y330" s="61"/>
      <c r="Z330" s="61"/>
      <c r="AA330" s="61"/>
      <c r="AB330" s="62"/>
      <c r="AC330" s="61"/>
      <c r="AD330" s="64"/>
      <c r="AE330" s="61"/>
    </row>
    <row r="331" spans="1: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4"/>
      <c r="U331" s="64"/>
      <c r="V331" s="62"/>
      <c r="W331" s="61"/>
      <c r="X331" s="61"/>
      <c r="Y331" s="61"/>
      <c r="Z331" s="61"/>
      <c r="AA331" s="61"/>
      <c r="AB331" s="62"/>
      <c r="AC331" s="61"/>
      <c r="AD331" s="64"/>
      <c r="AE331" s="61"/>
    </row>
    <row r="332" spans="1:31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4"/>
      <c r="U332" s="64"/>
      <c r="V332" s="62"/>
      <c r="W332" s="61"/>
      <c r="X332" s="61"/>
      <c r="Y332" s="61"/>
      <c r="Z332" s="61"/>
      <c r="AA332" s="61"/>
      <c r="AB332" s="62"/>
      <c r="AC332" s="61"/>
      <c r="AD332" s="64"/>
      <c r="AE332" s="61"/>
    </row>
    <row r="333" spans="1:31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4"/>
      <c r="U333" s="64"/>
      <c r="V333" s="62"/>
      <c r="W333" s="61"/>
      <c r="X333" s="61"/>
      <c r="Y333" s="61"/>
      <c r="Z333" s="61"/>
      <c r="AA333" s="61"/>
      <c r="AB333" s="62"/>
      <c r="AC333" s="61"/>
      <c r="AD333" s="64"/>
      <c r="AE333" s="61"/>
    </row>
    <row r="334" spans="1:31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4"/>
      <c r="U334" s="64"/>
      <c r="V334" s="62"/>
      <c r="W334" s="61"/>
      <c r="X334" s="61"/>
      <c r="Y334" s="61"/>
      <c r="Z334" s="61"/>
      <c r="AA334" s="61"/>
      <c r="AB334" s="62"/>
      <c r="AC334" s="61"/>
      <c r="AD334" s="64"/>
      <c r="AE334" s="61"/>
    </row>
    <row r="335" spans="1:31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4"/>
      <c r="U335" s="64"/>
      <c r="V335" s="62"/>
      <c r="W335" s="61"/>
      <c r="X335" s="61"/>
      <c r="Y335" s="61"/>
      <c r="Z335" s="61"/>
      <c r="AA335" s="61"/>
      <c r="AB335" s="62"/>
      <c r="AC335" s="61"/>
      <c r="AD335" s="64"/>
      <c r="AE335" s="61"/>
    </row>
    <row r="336" spans="1:31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4"/>
      <c r="U336" s="64"/>
      <c r="V336" s="62"/>
      <c r="W336" s="61"/>
      <c r="X336" s="61"/>
      <c r="Y336" s="61"/>
      <c r="Z336" s="61"/>
      <c r="AA336" s="61"/>
      <c r="AB336" s="62"/>
      <c r="AC336" s="61"/>
      <c r="AD336" s="64"/>
      <c r="AE336" s="61"/>
    </row>
    <row r="337" spans="1:31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4"/>
      <c r="U337" s="64"/>
      <c r="V337" s="62"/>
      <c r="W337" s="61"/>
      <c r="X337" s="61"/>
      <c r="Y337" s="61"/>
      <c r="Z337" s="61"/>
      <c r="AA337" s="61"/>
      <c r="AB337" s="62"/>
      <c r="AC337" s="61"/>
      <c r="AD337" s="64"/>
      <c r="AE337" s="61"/>
    </row>
    <row r="338" spans="1:31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4"/>
      <c r="U338" s="64"/>
      <c r="V338" s="62"/>
      <c r="W338" s="61"/>
      <c r="X338" s="61"/>
      <c r="Y338" s="61"/>
      <c r="Z338" s="61"/>
      <c r="AA338" s="61"/>
      <c r="AB338" s="62"/>
      <c r="AC338" s="61"/>
      <c r="AD338" s="64"/>
      <c r="AE338" s="61"/>
    </row>
    <row r="339" spans="1:31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4"/>
      <c r="U339" s="64"/>
      <c r="V339" s="62"/>
      <c r="W339" s="61"/>
      <c r="X339" s="61"/>
      <c r="Y339" s="61"/>
      <c r="Z339" s="61"/>
      <c r="AA339" s="61"/>
      <c r="AB339" s="62"/>
      <c r="AC339" s="61"/>
      <c r="AD339" s="64"/>
      <c r="AE339" s="61"/>
    </row>
    <row r="340" spans="1:31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4"/>
      <c r="U340" s="64"/>
      <c r="V340" s="62"/>
      <c r="W340" s="61"/>
      <c r="X340" s="61"/>
      <c r="Y340" s="61"/>
      <c r="Z340" s="61"/>
      <c r="AA340" s="61"/>
      <c r="AB340" s="62"/>
      <c r="AC340" s="61"/>
      <c r="AD340" s="64"/>
      <c r="AE340" s="61"/>
    </row>
    <row r="341" spans="1:3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4"/>
      <c r="U341" s="64"/>
      <c r="V341" s="62"/>
      <c r="W341" s="61"/>
      <c r="X341" s="61"/>
      <c r="Y341" s="61"/>
      <c r="Z341" s="61"/>
      <c r="AA341" s="61"/>
      <c r="AB341" s="62"/>
      <c r="AC341" s="61"/>
      <c r="AD341" s="64"/>
      <c r="AE341" s="61"/>
    </row>
    <row r="342" spans="1:31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4"/>
      <c r="U342" s="64"/>
      <c r="V342" s="62"/>
      <c r="W342" s="61"/>
      <c r="X342" s="61"/>
      <c r="Y342" s="61"/>
      <c r="Z342" s="61"/>
      <c r="AA342" s="61"/>
      <c r="AB342" s="62"/>
      <c r="AC342" s="61"/>
      <c r="AD342" s="64"/>
      <c r="AE342" s="61"/>
    </row>
    <row r="343" spans="1:31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4"/>
      <c r="U343" s="64"/>
      <c r="V343" s="62"/>
      <c r="W343" s="61"/>
      <c r="X343" s="61"/>
      <c r="Y343" s="61"/>
      <c r="Z343" s="61"/>
      <c r="AA343" s="61"/>
      <c r="AB343" s="62"/>
      <c r="AC343" s="61"/>
      <c r="AD343" s="64"/>
      <c r="AE343" s="61"/>
    </row>
    <row r="344" spans="1:31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4"/>
      <c r="U344" s="64"/>
      <c r="V344" s="62"/>
      <c r="W344" s="61"/>
      <c r="X344" s="61"/>
      <c r="Y344" s="61"/>
      <c r="Z344" s="61"/>
      <c r="AA344" s="61"/>
      <c r="AB344" s="62"/>
      <c r="AC344" s="61"/>
      <c r="AD344" s="64"/>
      <c r="AE344" s="61"/>
    </row>
    <row r="345" spans="1:31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4"/>
      <c r="U345" s="64"/>
      <c r="V345" s="62"/>
      <c r="W345" s="61"/>
      <c r="X345" s="61"/>
      <c r="Y345" s="61"/>
      <c r="Z345" s="61"/>
      <c r="AA345" s="61"/>
      <c r="AB345" s="62"/>
      <c r="AC345" s="61"/>
      <c r="AD345" s="64"/>
      <c r="AE345" s="61"/>
    </row>
    <row r="346" spans="1:31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4"/>
      <c r="U346" s="64"/>
      <c r="V346" s="62"/>
      <c r="W346" s="61"/>
      <c r="X346" s="61"/>
      <c r="Y346" s="61"/>
      <c r="Z346" s="61"/>
      <c r="AA346" s="61"/>
      <c r="AB346" s="62"/>
      <c r="AC346" s="61"/>
      <c r="AD346" s="64"/>
      <c r="AE346" s="61"/>
    </row>
    <row r="347" spans="1:31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4"/>
      <c r="U347" s="64"/>
      <c r="V347" s="62"/>
      <c r="W347" s="61"/>
      <c r="X347" s="61"/>
      <c r="Y347" s="61"/>
      <c r="Z347" s="61"/>
      <c r="AA347" s="61"/>
      <c r="AB347" s="62"/>
      <c r="AC347" s="61"/>
      <c r="AD347" s="64"/>
      <c r="AE347" s="61"/>
    </row>
    <row r="348" spans="1:31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4"/>
      <c r="U348" s="64"/>
      <c r="V348" s="62"/>
      <c r="W348" s="61"/>
      <c r="X348" s="61"/>
      <c r="Y348" s="61"/>
      <c r="Z348" s="61"/>
      <c r="AA348" s="61"/>
      <c r="AB348" s="62"/>
      <c r="AC348" s="61"/>
      <c r="AD348" s="64"/>
      <c r="AE348" s="61"/>
    </row>
    <row r="349" spans="1:31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4"/>
      <c r="U349" s="64"/>
      <c r="V349" s="62"/>
      <c r="W349" s="61"/>
      <c r="X349" s="61"/>
      <c r="Y349" s="61"/>
      <c r="Z349" s="61"/>
      <c r="AA349" s="61"/>
      <c r="AB349" s="62"/>
      <c r="AC349" s="61"/>
      <c r="AD349" s="64"/>
      <c r="AE349" s="61"/>
    </row>
    <row r="350" spans="1:31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4"/>
      <c r="U350" s="64"/>
      <c r="V350" s="62"/>
      <c r="W350" s="61"/>
      <c r="X350" s="61"/>
      <c r="Y350" s="61"/>
      <c r="Z350" s="61"/>
      <c r="AA350" s="61"/>
      <c r="AB350" s="62"/>
      <c r="AC350" s="61"/>
      <c r="AD350" s="64"/>
      <c r="AE350" s="61"/>
    </row>
    <row r="351" spans="1:3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4"/>
      <c r="U351" s="64"/>
      <c r="V351" s="62"/>
      <c r="W351" s="61"/>
      <c r="X351" s="61"/>
      <c r="Y351" s="61"/>
      <c r="Z351" s="61"/>
      <c r="AA351" s="61"/>
      <c r="AB351" s="62"/>
      <c r="AC351" s="61"/>
      <c r="AD351" s="64"/>
      <c r="AE351" s="61"/>
    </row>
    <row r="352" spans="1:31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4"/>
      <c r="U352" s="64"/>
      <c r="V352" s="62"/>
      <c r="W352" s="61"/>
      <c r="X352" s="61"/>
      <c r="Y352" s="61"/>
      <c r="Z352" s="61"/>
      <c r="AA352" s="61"/>
      <c r="AB352" s="62"/>
      <c r="AC352" s="61"/>
      <c r="AD352" s="64"/>
      <c r="AE352" s="61"/>
    </row>
    <row r="353" spans="1:31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4"/>
      <c r="U353" s="64"/>
      <c r="V353" s="62"/>
      <c r="W353" s="61"/>
      <c r="X353" s="61"/>
      <c r="Y353" s="61"/>
      <c r="Z353" s="61"/>
      <c r="AA353" s="61"/>
      <c r="AB353" s="62"/>
      <c r="AC353" s="61"/>
      <c r="AD353" s="64"/>
      <c r="AE353" s="61"/>
    </row>
    <row r="354" spans="1:31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4"/>
      <c r="U354" s="64"/>
      <c r="V354" s="62"/>
      <c r="W354" s="61"/>
      <c r="X354" s="61"/>
      <c r="Y354" s="61"/>
      <c r="Z354" s="61"/>
      <c r="AA354" s="61"/>
      <c r="AB354" s="62"/>
      <c r="AC354" s="61"/>
      <c r="AD354" s="64"/>
      <c r="AE354" s="61"/>
    </row>
    <row r="355" spans="1:31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4"/>
      <c r="U355" s="64"/>
      <c r="V355" s="62"/>
      <c r="W355" s="61"/>
      <c r="X355" s="61"/>
      <c r="Y355" s="61"/>
      <c r="Z355" s="61"/>
      <c r="AA355" s="61"/>
      <c r="AB355" s="62"/>
      <c r="AC355" s="61"/>
      <c r="AD355" s="64"/>
      <c r="AE355" s="61"/>
    </row>
    <row r="356" spans="1:31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4"/>
      <c r="U356" s="64"/>
      <c r="V356" s="62"/>
      <c r="W356" s="61"/>
      <c r="X356" s="61"/>
      <c r="Y356" s="61"/>
      <c r="Z356" s="61"/>
      <c r="AA356" s="61"/>
      <c r="AB356" s="62"/>
      <c r="AC356" s="61"/>
      <c r="AD356" s="64"/>
      <c r="AE356" s="61"/>
    </row>
    <row r="357" spans="1:31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4"/>
      <c r="U357" s="64"/>
      <c r="V357" s="62"/>
      <c r="W357" s="61"/>
      <c r="X357" s="61"/>
      <c r="Y357" s="61"/>
      <c r="Z357" s="61"/>
      <c r="AA357" s="61"/>
      <c r="AB357" s="62"/>
      <c r="AC357" s="61"/>
      <c r="AD357" s="64"/>
      <c r="AE357" s="61"/>
    </row>
    <row r="358" spans="1:31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4"/>
      <c r="U358" s="64"/>
      <c r="V358" s="62"/>
      <c r="W358" s="61"/>
      <c r="X358" s="61"/>
      <c r="Y358" s="61"/>
      <c r="Z358" s="61"/>
      <c r="AA358" s="61"/>
      <c r="AB358" s="62"/>
      <c r="AC358" s="61"/>
      <c r="AD358" s="64"/>
      <c r="AE358" s="61"/>
    </row>
    <row r="359" spans="1:31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4"/>
      <c r="U359" s="64"/>
      <c r="V359" s="62"/>
      <c r="W359" s="61"/>
      <c r="X359" s="61"/>
      <c r="Y359" s="61"/>
      <c r="Z359" s="61"/>
      <c r="AA359" s="61"/>
      <c r="AB359" s="62"/>
      <c r="AC359" s="61"/>
      <c r="AD359" s="64"/>
      <c r="AE359" s="61"/>
    </row>
    <row r="360" spans="1:31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4"/>
      <c r="U360" s="64"/>
      <c r="V360" s="62"/>
      <c r="W360" s="61"/>
      <c r="X360" s="61"/>
      <c r="Y360" s="61"/>
      <c r="Z360" s="61"/>
      <c r="AA360" s="61"/>
      <c r="AB360" s="62"/>
      <c r="AC360" s="61"/>
      <c r="AD360" s="64"/>
      <c r="AE360" s="61"/>
    </row>
    <row r="361" spans="1:3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4"/>
      <c r="U361" s="64"/>
      <c r="V361" s="62"/>
      <c r="W361" s="61"/>
      <c r="X361" s="61"/>
      <c r="Y361" s="61"/>
      <c r="Z361" s="61"/>
      <c r="AA361" s="61"/>
      <c r="AB361" s="62"/>
      <c r="AC361" s="61"/>
      <c r="AD361" s="64"/>
      <c r="AE361" s="61"/>
    </row>
    <row r="362" spans="1:31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4"/>
      <c r="U362" s="64"/>
      <c r="V362" s="62"/>
      <c r="W362" s="61"/>
      <c r="X362" s="61"/>
      <c r="Y362" s="61"/>
      <c r="Z362" s="61"/>
      <c r="AA362" s="61"/>
      <c r="AB362" s="62"/>
      <c r="AC362" s="61"/>
      <c r="AD362" s="64"/>
      <c r="AE362" s="61"/>
    </row>
    <row r="363" spans="1:31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4"/>
      <c r="U363" s="64"/>
      <c r="V363" s="62"/>
      <c r="W363" s="61"/>
      <c r="X363" s="61"/>
      <c r="Y363" s="61"/>
      <c r="Z363" s="61"/>
      <c r="AA363" s="61"/>
      <c r="AB363" s="62"/>
      <c r="AC363" s="61"/>
      <c r="AD363" s="64"/>
      <c r="AE363" s="61"/>
    </row>
    <row r="364" spans="1:31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4"/>
      <c r="U364" s="64"/>
      <c r="V364" s="62"/>
      <c r="W364" s="61"/>
      <c r="X364" s="61"/>
      <c r="Y364" s="61"/>
      <c r="Z364" s="61"/>
      <c r="AA364" s="61"/>
      <c r="AB364" s="62"/>
      <c r="AC364" s="61"/>
      <c r="AD364" s="64"/>
      <c r="AE364" s="61"/>
    </row>
    <row r="365" spans="1:31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4"/>
      <c r="U365" s="64"/>
      <c r="V365" s="62"/>
      <c r="W365" s="61"/>
      <c r="X365" s="61"/>
      <c r="Y365" s="61"/>
      <c r="Z365" s="61"/>
      <c r="AA365" s="61"/>
      <c r="AB365" s="62"/>
      <c r="AC365" s="61"/>
      <c r="AD365" s="64"/>
      <c r="AE365" s="61"/>
    </row>
    <row r="366" spans="1:31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4"/>
      <c r="U366" s="64"/>
      <c r="V366" s="62"/>
      <c r="W366" s="61"/>
      <c r="X366" s="61"/>
      <c r="Y366" s="61"/>
      <c r="Z366" s="61"/>
      <c r="AA366" s="61"/>
      <c r="AB366" s="62"/>
      <c r="AC366" s="61"/>
      <c r="AD366" s="64"/>
      <c r="AE366" s="61"/>
    </row>
    <row r="367" spans="1:31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4"/>
      <c r="U367" s="64"/>
      <c r="V367" s="62"/>
      <c r="W367" s="61"/>
      <c r="X367" s="61"/>
      <c r="Y367" s="61"/>
      <c r="Z367" s="61"/>
      <c r="AA367" s="61"/>
      <c r="AB367" s="62"/>
      <c r="AC367" s="61"/>
      <c r="AD367" s="64"/>
      <c r="AE367" s="61"/>
    </row>
    <row r="368" spans="1:31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4"/>
      <c r="U368" s="64"/>
      <c r="V368" s="62"/>
      <c r="W368" s="61"/>
      <c r="X368" s="61"/>
      <c r="Y368" s="61"/>
      <c r="Z368" s="61"/>
      <c r="AA368" s="61"/>
      <c r="AB368" s="62"/>
      <c r="AC368" s="61"/>
      <c r="AD368" s="64"/>
      <c r="AE368" s="61"/>
    </row>
    <row r="369" spans="1:31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4"/>
      <c r="U369" s="64"/>
      <c r="V369" s="62"/>
      <c r="W369" s="61"/>
      <c r="X369" s="61"/>
      <c r="Y369" s="61"/>
      <c r="Z369" s="61"/>
      <c r="AA369" s="61"/>
      <c r="AB369" s="62"/>
      <c r="AC369" s="61"/>
      <c r="AD369" s="64"/>
      <c r="AE369" s="61"/>
    </row>
    <row r="370" spans="1:31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4"/>
      <c r="U370" s="64"/>
      <c r="V370" s="62"/>
      <c r="W370" s="61"/>
      <c r="X370" s="61"/>
      <c r="Y370" s="61"/>
      <c r="Z370" s="61"/>
      <c r="AA370" s="61"/>
      <c r="AB370" s="62"/>
      <c r="AC370" s="61"/>
      <c r="AD370" s="64"/>
      <c r="AE370" s="61"/>
    </row>
    <row r="371" spans="1:3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4"/>
      <c r="U371" s="64"/>
      <c r="V371" s="62"/>
      <c r="W371" s="61"/>
      <c r="X371" s="61"/>
      <c r="Y371" s="61"/>
      <c r="Z371" s="61"/>
      <c r="AA371" s="61"/>
      <c r="AB371" s="62"/>
      <c r="AC371" s="61"/>
      <c r="AD371" s="64"/>
      <c r="AE371" s="61"/>
    </row>
    <row r="372" spans="1:31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4"/>
      <c r="U372" s="64"/>
      <c r="V372" s="62"/>
      <c r="W372" s="61"/>
      <c r="X372" s="61"/>
      <c r="Y372" s="61"/>
      <c r="Z372" s="61"/>
      <c r="AA372" s="61"/>
      <c r="AB372" s="62"/>
      <c r="AC372" s="61"/>
      <c r="AD372" s="64"/>
      <c r="AE372" s="61"/>
    </row>
    <row r="373" spans="1:31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4"/>
      <c r="U373" s="64"/>
      <c r="V373" s="62"/>
      <c r="W373" s="61"/>
      <c r="X373" s="61"/>
      <c r="Y373" s="61"/>
      <c r="Z373" s="61"/>
      <c r="AA373" s="61"/>
      <c r="AB373" s="62"/>
      <c r="AC373" s="61"/>
      <c r="AD373" s="64"/>
      <c r="AE373" s="61"/>
    </row>
    <row r="374" spans="1:31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4"/>
      <c r="U374" s="64"/>
      <c r="V374" s="62"/>
      <c r="W374" s="61"/>
      <c r="X374" s="61"/>
      <c r="Y374" s="61"/>
      <c r="Z374" s="61"/>
      <c r="AA374" s="61"/>
      <c r="AB374" s="62"/>
      <c r="AC374" s="61"/>
      <c r="AD374" s="64"/>
      <c r="AE374" s="61"/>
    </row>
    <row r="375" spans="1:31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4"/>
      <c r="U375" s="64"/>
      <c r="V375" s="62"/>
      <c r="W375" s="61"/>
      <c r="X375" s="61"/>
      <c r="Y375" s="61"/>
      <c r="Z375" s="61"/>
      <c r="AA375" s="61"/>
      <c r="AB375" s="62"/>
      <c r="AC375" s="61"/>
      <c r="AD375" s="64"/>
      <c r="AE375" s="61"/>
    </row>
    <row r="376" spans="1:31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4"/>
      <c r="U376" s="64"/>
      <c r="V376" s="62"/>
      <c r="W376" s="61"/>
      <c r="X376" s="61"/>
      <c r="Y376" s="61"/>
      <c r="Z376" s="61"/>
      <c r="AA376" s="61"/>
      <c r="AB376" s="62"/>
      <c r="AC376" s="61"/>
      <c r="AD376" s="64"/>
      <c r="AE376" s="61"/>
    </row>
    <row r="377" spans="1:31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4"/>
      <c r="U377" s="64"/>
      <c r="V377" s="62"/>
      <c r="W377" s="61"/>
      <c r="X377" s="61"/>
      <c r="Y377" s="61"/>
      <c r="Z377" s="61"/>
      <c r="AA377" s="61"/>
      <c r="AB377" s="62"/>
      <c r="AC377" s="61"/>
      <c r="AD377" s="64"/>
      <c r="AE377" s="61"/>
    </row>
    <row r="378" spans="1:31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4"/>
      <c r="U378" s="64"/>
      <c r="V378" s="62"/>
      <c r="W378" s="61"/>
      <c r="X378" s="61"/>
      <c r="Y378" s="61"/>
      <c r="Z378" s="61"/>
      <c r="AA378" s="61"/>
      <c r="AB378" s="62"/>
      <c r="AC378" s="61"/>
      <c r="AD378" s="64"/>
      <c r="AE378" s="61"/>
    </row>
    <row r="379" spans="1:31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4"/>
      <c r="U379" s="64"/>
      <c r="V379" s="62"/>
      <c r="W379" s="61"/>
      <c r="X379" s="61"/>
      <c r="Y379" s="61"/>
      <c r="Z379" s="61"/>
      <c r="AA379" s="61"/>
      <c r="AB379" s="62"/>
      <c r="AC379" s="61"/>
      <c r="AD379" s="64"/>
      <c r="AE379" s="61"/>
    </row>
    <row r="380" spans="1:31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4"/>
      <c r="U380" s="64"/>
      <c r="V380" s="62"/>
      <c r="W380" s="61"/>
      <c r="X380" s="61"/>
      <c r="Y380" s="61"/>
      <c r="Z380" s="61"/>
      <c r="AA380" s="61"/>
      <c r="AB380" s="62"/>
      <c r="AC380" s="61"/>
      <c r="AD380" s="64"/>
      <c r="AE380" s="61"/>
    </row>
    <row r="381" spans="1:3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4"/>
      <c r="U381" s="64"/>
      <c r="V381" s="62"/>
      <c r="W381" s="61"/>
      <c r="X381" s="61"/>
      <c r="Y381" s="61"/>
      <c r="Z381" s="61"/>
      <c r="AA381" s="61"/>
      <c r="AB381" s="62"/>
      <c r="AC381" s="61"/>
      <c r="AD381" s="64"/>
      <c r="AE381" s="61"/>
    </row>
    <row r="382" spans="1:31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4"/>
      <c r="U382" s="64"/>
      <c r="V382" s="62"/>
      <c r="W382" s="61"/>
      <c r="X382" s="61"/>
      <c r="Y382" s="61"/>
      <c r="Z382" s="61"/>
      <c r="AA382" s="61"/>
      <c r="AB382" s="62"/>
      <c r="AC382" s="61"/>
      <c r="AD382" s="64"/>
      <c r="AE382" s="61"/>
    </row>
    <row r="383" spans="1:31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4"/>
      <c r="U383" s="64"/>
      <c r="V383" s="62"/>
      <c r="W383" s="61"/>
      <c r="X383" s="61"/>
      <c r="Y383" s="61"/>
      <c r="Z383" s="61"/>
      <c r="AA383" s="61"/>
      <c r="AB383" s="62"/>
      <c r="AC383" s="61"/>
      <c r="AD383" s="64"/>
      <c r="AE383" s="61"/>
    </row>
    <row r="384" spans="1:31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4"/>
      <c r="U384" s="64"/>
      <c r="V384" s="62"/>
      <c r="W384" s="61"/>
      <c r="X384" s="61"/>
      <c r="Y384" s="61"/>
      <c r="Z384" s="61"/>
      <c r="AA384" s="61"/>
      <c r="AB384" s="62"/>
      <c r="AC384" s="61"/>
      <c r="AD384" s="64"/>
      <c r="AE384" s="61"/>
    </row>
    <row r="385" spans="1:31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4"/>
      <c r="U385" s="64"/>
      <c r="V385" s="62"/>
      <c r="W385" s="61"/>
      <c r="X385" s="61"/>
      <c r="Y385" s="61"/>
      <c r="Z385" s="61"/>
      <c r="AA385" s="61"/>
      <c r="AB385" s="62"/>
      <c r="AC385" s="61"/>
      <c r="AD385" s="64"/>
      <c r="AE385" s="61"/>
    </row>
    <row r="386" spans="1:31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4"/>
      <c r="U386" s="64"/>
      <c r="V386" s="62"/>
      <c r="W386" s="61"/>
      <c r="X386" s="61"/>
      <c r="Y386" s="61"/>
      <c r="Z386" s="61"/>
      <c r="AA386" s="61"/>
      <c r="AB386" s="62"/>
      <c r="AC386" s="61"/>
      <c r="AD386" s="64"/>
      <c r="AE386" s="61"/>
    </row>
    <row r="387" spans="1:31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4"/>
      <c r="U387" s="64"/>
      <c r="V387" s="62"/>
      <c r="W387" s="61"/>
      <c r="X387" s="61"/>
      <c r="Y387" s="61"/>
      <c r="Z387" s="61"/>
      <c r="AA387" s="61"/>
      <c r="AB387" s="62"/>
      <c r="AC387" s="61"/>
      <c r="AD387" s="64"/>
      <c r="AE387" s="61"/>
    </row>
    <row r="388" spans="1:31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4"/>
      <c r="U388" s="64"/>
      <c r="V388" s="62"/>
      <c r="W388" s="61"/>
      <c r="X388" s="61"/>
      <c r="Y388" s="61"/>
      <c r="Z388" s="61"/>
      <c r="AA388" s="61"/>
      <c r="AB388" s="62"/>
      <c r="AC388" s="61"/>
      <c r="AD388" s="64"/>
      <c r="AE388" s="61"/>
    </row>
    <row r="389" spans="1:31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4"/>
      <c r="U389" s="64"/>
      <c r="V389" s="62"/>
      <c r="W389" s="61"/>
      <c r="X389" s="61"/>
      <c r="Y389" s="61"/>
      <c r="Z389" s="61"/>
      <c r="AA389" s="61"/>
      <c r="AB389" s="62"/>
      <c r="AC389" s="61"/>
      <c r="AD389" s="64"/>
      <c r="AE389" s="61"/>
    </row>
    <row r="390" spans="1:31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4"/>
      <c r="U390" s="64"/>
      <c r="V390" s="62"/>
      <c r="W390" s="61"/>
      <c r="X390" s="61"/>
      <c r="Y390" s="61"/>
      <c r="Z390" s="61"/>
      <c r="AA390" s="61"/>
      <c r="AB390" s="62"/>
      <c r="AC390" s="61"/>
      <c r="AD390" s="64"/>
      <c r="AE390" s="61"/>
    </row>
    <row r="391" spans="1:3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4"/>
      <c r="U391" s="64"/>
      <c r="V391" s="62"/>
      <c r="W391" s="61"/>
      <c r="X391" s="61"/>
      <c r="Y391" s="61"/>
      <c r="Z391" s="61"/>
      <c r="AA391" s="61"/>
      <c r="AB391" s="62"/>
      <c r="AC391" s="61"/>
      <c r="AD391" s="64"/>
      <c r="AE391" s="61"/>
    </row>
    <row r="392" spans="1:31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4"/>
      <c r="U392" s="64"/>
      <c r="V392" s="62"/>
      <c r="W392" s="61"/>
      <c r="X392" s="61"/>
      <c r="Y392" s="61"/>
      <c r="Z392" s="61"/>
      <c r="AA392" s="61"/>
      <c r="AB392" s="62"/>
      <c r="AC392" s="61"/>
      <c r="AD392" s="64"/>
      <c r="AE392" s="61"/>
    </row>
    <row r="393" spans="1:31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4"/>
      <c r="U393" s="64"/>
      <c r="V393" s="62"/>
      <c r="W393" s="61"/>
      <c r="X393" s="61"/>
      <c r="Y393" s="61"/>
      <c r="Z393" s="61"/>
      <c r="AA393" s="61"/>
      <c r="AB393" s="62"/>
      <c r="AC393" s="61"/>
      <c r="AD393" s="64"/>
      <c r="AE393" s="61"/>
    </row>
    <row r="394" spans="1:31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4"/>
      <c r="U394" s="64"/>
      <c r="V394" s="62"/>
      <c r="W394" s="61"/>
      <c r="X394" s="61"/>
      <c r="Y394" s="61"/>
      <c r="Z394" s="61"/>
      <c r="AA394" s="61"/>
      <c r="AB394" s="62"/>
      <c r="AC394" s="61"/>
      <c r="AD394" s="64"/>
      <c r="AE394" s="61"/>
    </row>
    <row r="395" spans="1:31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4"/>
      <c r="U395" s="64"/>
      <c r="V395" s="62"/>
      <c r="W395" s="61"/>
      <c r="X395" s="61"/>
      <c r="Y395" s="61"/>
      <c r="Z395" s="61"/>
      <c r="AA395" s="61"/>
      <c r="AB395" s="62"/>
      <c r="AC395" s="61"/>
      <c r="AD395" s="64"/>
      <c r="AE395" s="61"/>
    </row>
    <row r="396" spans="1:31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4"/>
      <c r="U396" s="64"/>
      <c r="V396" s="62"/>
      <c r="W396" s="61"/>
      <c r="X396" s="61"/>
      <c r="Y396" s="61"/>
      <c r="Z396" s="61"/>
      <c r="AA396" s="61"/>
      <c r="AB396" s="62"/>
      <c r="AC396" s="61"/>
      <c r="AD396" s="64"/>
      <c r="AE396" s="61"/>
    </row>
    <row r="397" spans="1:31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4"/>
      <c r="U397" s="64"/>
      <c r="V397" s="62"/>
      <c r="W397" s="61"/>
      <c r="X397" s="61"/>
      <c r="Y397" s="61"/>
      <c r="Z397" s="61"/>
      <c r="AA397" s="61"/>
      <c r="AB397" s="62"/>
      <c r="AC397" s="61"/>
      <c r="AD397" s="64"/>
      <c r="AE397" s="61"/>
    </row>
    <row r="398" spans="1:31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4"/>
      <c r="U398" s="64"/>
      <c r="V398" s="62"/>
      <c r="W398" s="61"/>
      <c r="X398" s="61"/>
      <c r="Y398" s="61"/>
      <c r="Z398" s="61"/>
      <c r="AA398" s="61"/>
      <c r="AB398" s="62"/>
      <c r="AC398" s="61"/>
      <c r="AD398" s="64"/>
      <c r="AE398" s="61"/>
    </row>
    <row r="399" spans="1:31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4"/>
      <c r="U399" s="64"/>
      <c r="V399" s="62"/>
      <c r="W399" s="61"/>
      <c r="X399" s="61"/>
      <c r="Y399" s="61"/>
      <c r="Z399" s="61"/>
      <c r="AA399" s="61"/>
      <c r="AB399" s="62"/>
      <c r="AC399" s="61"/>
      <c r="AD399" s="64"/>
      <c r="AE399" s="61"/>
    </row>
    <row r="400" spans="1:31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4"/>
      <c r="U400" s="64"/>
      <c r="V400" s="62"/>
      <c r="W400" s="61"/>
      <c r="X400" s="61"/>
      <c r="Y400" s="61"/>
      <c r="Z400" s="61"/>
      <c r="AA400" s="61"/>
      <c r="AB400" s="62"/>
      <c r="AC400" s="61"/>
      <c r="AD400" s="64"/>
      <c r="AE400" s="61"/>
    </row>
    <row r="401" spans="1:3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4"/>
      <c r="U401" s="64"/>
      <c r="V401" s="62"/>
      <c r="W401" s="61"/>
      <c r="X401" s="61"/>
      <c r="Y401" s="61"/>
      <c r="Z401" s="61"/>
      <c r="AA401" s="61"/>
      <c r="AB401" s="62"/>
      <c r="AC401" s="61"/>
      <c r="AD401" s="64"/>
      <c r="AE401" s="61"/>
    </row>
    <row r="402" spans="1:31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4"/>
      <c r="U402" s="64"/>
      <c r="V402" s="62"/>
      <c r="W402" s="61"/>
      <c r="X402" s="61"/>
      <c r="Y402" s="61"/>
      <c r="Z402" s="61"/>
      <c r="AA402" s="61"/>
      <c r="AB402" s="62"/>
      <c r="AC402" s="61"/>
      <c r="AD402" s="64"/>
      <c r="AE402" s="61"/>
    </row>
    <row r="403" spans="1:31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4"/>
      <c r="U403" s="64"/>
      <c r="V403" s="62"/>
      <c r="W403" s="61"/>
      <c r="X403" s="61"/>
      <c r="Y403" s="61"/>
      <c r="Z403" s="61"/>
      <c r="AA403" s="61"/>
      <c r="AB403" s="62"/>
      <c r="AC403" s="61"/>
      <c r="AD403" s="64"/>
      <c r="AE403" s="61"/>
    </row>
    <row r="404" spans="1:31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4"/>
      <c r="U404" s="64"/>
      <c r="V404" s="62"/>
      <c r="W404" s="61"/>
      <c r="X404" s="61"/>
      <c r="Y404" s="61"/>
      <c r="Z404" s="61"/>
      <c r="AA404" s="61"/>
      <c r="AB404" s="62"/>
      <c r="AC404" s="61"/>
      <c r="AD404" s="64"/>
      <c r="AE404" s="61"/>
    </row>
    <row r="405" spans="1:31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4"/>
      <c r="U405" s="64"/>
      <c r="V405" s="62"/>
      <c r="W405" s="61"/>
      <c r="X405" s="61"/>
      <c r="Y405" s="61"/>
      <c r="Z405" s="61"/>
      <c r="AA405" s="61"/>
      <c r="AB405" s="62"/>
      <c r="AC405" s="61"/>
      <c r="AD405" s="64"/>
      <c r="AE405" s="61"/>
    </row>
    <row r="406" spans="1:31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4"/>
      <c r="U406" s="64"/>
      <c r="V406" s="62"/>
      <c r="W406" s="61"/>
      <c r="X406" s="61"/>
      <c r="Y406" s="61"/>
      <c r="Z406" s="61"/>
      <c r="AA406" s="61"/>
      <c r="AB406" s="62"/>
      <c r="AC406" s="61"/>
      <c r="AD406" s="64"/>
      <c r="AE406" s="61"/>
    </row>
    <row r="407" spans="1:31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4"/>
      <c r="U407" s="64"/>
      <c r="V407" s="62"/>
      <c r="W407" s="61"/>
      <c r="X407" s="61"/>
      <c r="Y407" s="61"/>
      <c r="Z407" s="61"/>
      <c r="AA407" s="61"/>
      <c r="AB407" s="62"/>
      <c r="AC407" s="61"/>
      <c r="AD407" s="64"/>
      <c r="AE407" s="61"/>
    </row>
    <row r="408" spans="1:31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4"/>
      <c r="U408" s="64"/>
      <c r="V408" s="62"/>
      <c r="W408" s="61"/>
      <c r="X408" s="61"/>
      <c r="Y408" s="61"/>
      <c r="Z408" s="61"/>
      <c r="AA408" s="61"/>
      <c r="AB408" s="62"/>
      <c r="AC408" s="61"/>
      <c r="AD408" s="64"/>
      <c r="AE408" s="61"/>
    </row>
    <row r="409" spans="1:31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4"/>
      <c r="U409" s="64"/>
      <c r="V409" s="62"/>
      <c r="W409" s="61"/>
      <c r="X409" s="61"/>
      <c r="Y409" s="61"/>
      <c r="Z409" s="61"/>
      <c r="AA409" s="61"/>
      <c r="AB409" s="62"/>
      <c r="AC409" s="61"/>
      <c r="AD409" s="64"/>
      <c r="AE409" s="61"/>
    </row>
    <row r="410" spans="1:31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4"/>
      <c r="U410" s="64"/>
      <c r="V410" s="62"/>
      <c r="W410" s="61"/>
      <c r="X410" s="61"/>
      <c r="Y410" s="61"/>
      <c r="Z410" s="61"/>
      <c r="AA410" s="61"/>
      <c r="AB410" s="62"/>
      <c r="AC410" s="61"/>
      <c r="AD410" s="64"/>
      <c r="AE410" s="61"/>
    </row>
    <row r="411" spans="1:3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4"/>
      <c r="U411" s="64"/>
      <c r="V411" s="62"/>
      <c r="W411" s="61"/>
      <c r="X411" s="61"/>
      <c r="Y411" s="61"/>
      <c r="Z411" s="61"/>
      <c r="AA411" s="61"/>
      <c r="AB411" s="62"/>
      <c r="AC411" s="61"/>
      <c r="AD411" s="64"/>
      <c r="AE411" s="61"/>
    </row>
    <row r="412" spans="1:31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4"/>
      <c r="U412" s="64"/>
      <c r="V412" s="62"/>
      <c r="W412" s="61"/>
      <c r="X412" s="61"/>
      <c r="Y412" s="61"/>
      <c r="Z412" s="61"/>
      <c r="AA412" s="61"/>
      <c r="AB412" s="62"/>
      <c r="AC412" s="61"/>
      <c r="AD412" s="64"/>
      <c r="AE412" s="61"/>
    </row>
    <row r="413" spans="1:31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4"/>
      <c r="U413" s="64"/>
      <c r="V413" s="62"/>
      <c r="W413" s="61"/>
      <c r="X413" s="61"/>
      <c r="Y413" s="61"/>
      <c r="Z413" s="61"/>
      <c r="AA413" s="61"/>
      <c r="AB413" s="62"/>
      <c r="AC413" s="61"/>
      <c r="AD413" s="64"/>
      <c r="AE413" s="61"/>
    </row>
    <row r="414" spans="1:31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4"/>
      <c r="U414" s="64"/>
      <c r="V414" s="62"/>
      <c r="W414" s="61"/>
      <c r="X414" s="61"/>
      <c r="Y414" s="61"/>
      <c r="Z414" s="61"/>
      <c r="AA414" s="61"/>
      <c r="AB414" s="62"/>
      <c r="AC414" s="61"/>
      <c r="AD414" s="64"/>
      <c r="AE414" s="61"/>
    </row>
    <row r="415" spans="1:31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4"/>
      <c r="U415" s="64"/>
      <c r="V415" s="62"/>
      <c r="W415" s="61"/>
      <c r="X415" s="61"/>
      <c r="Y415" s="61"/>
      <c r="Z415" s="61"/>
      <c r="AA415" s="61"/>
      <c r="AB415" s="62"/>
      <c r="AC415" s="61"/>
      <c r="AD415" s="64"/>
      <c r="AE415" s="61"/>
    </row>
    <row r="416" spans="1:31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4"/>
      <c r="U416" s="64"/>
      <c r="V416" s="62"/>
      <c r="W416" s="61"/>
      <c r="X416" s="61"/>
      <c r="Y416" s="61"/>
      <c r="Z416" s="61"/>
      <c r="AA416" s="61"/>
      <c r="AB416" s="62"/>
      <c r="AC416" s="61"/>
      <c r="AD416" s="64"/>
      <c r="AE416" s="61"/>
    </row>
    <row r="417" spans="1:31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4"/>
      <c r="U417" s="64"/>
      <c r="V417" s="62"/>
      <c r="W417" s="61"/>
      <c r="X417" s="61"/>
      <c r="Y417" s="61"/>
      <c r="Z417" s="61"/>
      <c r="AA417" s="61"/>
      <c r="AB417" s="62"/>
      <c r="AC417" s="61"/>
      <c r="AD417" s="64"/>
      <c r="AE417" s="61"/>
    </row>
    <row r="418" spans="1:31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4"/>
      <c r="U418" s="64"/>
      <c r="V418" s="62"/>
      <c r="W418" s="61"/>
      <c r="X418" s="61"/>
      <c r="Y418" s="61"/>
      <c r="Z418" s="61"/>
      <c r="AA418" s="61"/>
      <c r="AB418" s="62"/>
      <c r="AC418" s="61"/>
      <c r="AD418" s="64"/>
      <c r="AE418" s="61"/>
    </row>
    <row r="419" spans="1:31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4"/>
      <c r="U419" s="64"/>
      <c r="V419" s="62"/>
      <c r="W419" s="61"/>
      <c r="X419" s="61"/>
      <c r="Y419" s="61"/>
      <c r="Z419" s="61"/>
      <c r="AA419" s="61"/>
      <c r="AB419" s="62"/>
      <c r="AC419" s="61"/>
      <c r="AD419" s="64"/>
      <c r="AE419" s="61"/>
    </row>
    <row r="420" spans="1:31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4"/>
      <c r="U420" s="64"/>
      <c r="V420" s="62"/>
      <c r="W420" s="61"/>
      <c r="X420" s="61"/>
      <c r="Y420" s="61"/>
      <c r="Z420" s="61"/>
      <c r="AA420" s="61"/>
      <c r="AB420" s="62"/>
      <c r="AC420" s="61"/>
      <c r="AD420" s="64"/>
      <c r="AE420" s="61"/>
    </row>
    <row r="421" spans="1:3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4"/>
      <c r="U421" s="64"/>
      <c r="V421" s="62"/>
      <c r="W421" s="61"/>
      <c r="X421" s="61"/>
      <c r="Y421" s="61"/>
      <c r="Z421" s="61"/>
      <c r="AA421" s="61"/>
      <c r="AB421" s="62"/>
      <c r="AC421" s="61"/>
      <c r="AD421" s="64"/>
      <c r="AE421" s="61"/>
    </row>
    <row r="422" spans="1:31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4"/>
      <c r="U422" s="64"/>
      <c r="V422" s="62"/>
      <c r="W422" s="61"/>
      <c r="X422" s="61"/>
      <c r="Y422" s="61"/>
      <c r="Z422" s="61"/>
      <c r="AA422" s="61"/>
      <c r="AB422" s="62"/>
      <c r="AC422" s="61"/>
      <c r="AD422" s="64"/>
      <c r="AE422" s="61"/>
    </row>
    <row r="423" spans="1:31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4"/>
      <c r="U423" s="64"/>
      <c r="V423" s="62"/>
      <c r="W423" s="61"/>
      <c r="X423" s="61"/>
      <c r="Y423" s="61"/>
      <c r="Z423" s="61"/>
      <c r="AA423" s="61"/>
      <c r="AB423" s="62"/>
      <c r="AC423" s="61"/>
      <c r="AD423" s="64"/>
      <c r="AE423" s="61"/>
    </row>
    <row r="424" spans="1:31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4"/>
      <c r="U424" s="64"/>
      <c r="V424" s="62"/>
      <c r="W424" s="61"/>
      <c r="X424" s="61"/>
      <c r="Y424" s="61"/>
      <c r="Z424" s="61"/>
      <c r="AA424" s="61"/>
      <c r="AB424" s="62"/>
      <c r="AC424" s="61"/>
      <c r="AD424" s="64"/>
      <c r="AE424" s="61"/>
    </row>
    <row r="425" spans="1:31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4"/>
      <c r="U425" s="64"/>
      <c r="V425" s="62"/>
      <c r="W425" s="61"/>
      <c r="X425" s="61"/>
      <c r="Y425" s="61"/>
      <c r="Z425" s="61"/>
      <c r="AA425" s="61"/>
      <c r="AB425" s="62"/>
      <c r="AC425" s="61"/>
      <c r="AD425" s="64"/>
      <c r="AE425" s="61"/>
    </row>
    <row r="426" spans="1:31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4"/>
      <c r="U426" s="64"/>
      <c r="V426" s="62"/>
      <c r="W426" s="61"/>
      <c r="X426" s="61"/>
      <c r="Y426" s="61"/>
      <c r="Z426" s="61"/>
      <c r="AA426" s="61"/>
      <c r="AB426" s="62"/>
      <c r="AC426" s="61"/>
      <c r="AD426" s="64"/>
      <c r="AE426" s="61"/>
    </row>
    <row r="427" spans="1:31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4"/>
      <c r="U427" s="64"/>
      <c r="V427" s="62"/>
      <c r="W427" s="61"/>
      <c r="X427" s="61"/>
      <c r="Y427" s="61"/>
      <c r="Z427" s="61"/>
      <c r="AA427" s="61"/>
      <c r="AB427" s="62"/>
      <c r="AC427" s="61"/>
      <c r="AD427" s="64"/>
      <c r="AE427" s="61"/>
    </row>
    <row r="428" spans="1:31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4"/>
      <c r="U428" s="64"/>
      <c r="V428" s="62"/>
      <c r="W428" s="61"/>
      <c r="X428" s="61"/>
      <c r="Y428" s="61"/>
      <c r="Z428" s="61"/>
      <c r="AA428" s="61"/>
      <c r="AB428" s="62"/>
      <c r="AC428" s="61"/>
      <c r="AD428" s="64"/>
      <c r="AE428" s="61"/>
    </row>
    <row r="429" spans="1:31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4"/>
      <c r="U429" s="64"/>
      <c r="V429" s="62"/>
      <c r="W429" s="61"/>
      <c r="X429" s="61"/>
      <c r="Y429" s="61"/>
      <c r="Z429" s="61"/>
      <c r="AA429" s="61"/>
      <c r="AB429" s="62"/>
      <c r="AC429" s="61"/>
      <c r="AD429" s="64"/>
      <c r="AE429" s="61"/>
    </row>
    <row r="430" spans="1:31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4"/>
      <c r="U430" s="64"/>
      <c r="V430" s="62"/>
      <c r="W430" s="61"/>
      <c r="X430" s="61"/>
      <c r="Y430" s="61"/>
      <c r="Z430" s="61"/>
      <c r="AA430" s="61"/>
      <c r="AB430" s="62"/>
      <c r="AC430" s="61"/>
      <c r="AD430" s="64"/>
      <c r="AE430" s="61"/>
    </row>
    <row r="431" spans="1: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4"/>
      <c r="U431" s="64"/>
      <c r="V431" s="62"/>
      <c r="W431" s="61"/>
      <c r="X431" s="61"/>
      <c r="Y431" s="61"/>
      <c r="Z431" s="61"/>
      <c r="AA431" s="61"/>
      <c r="AB431" s="62"/>
      <c r="AC431" s="61"/>
      <c r="AD431" s="64"/>
      <c r="AE431" s="61"/>
    </row>
    <row r="432" spans="1:31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4"/>
      <c r="U432" s="64"/>
      <c r="V432" s="62"/>
      <c r="W432" s="61"/>
      <c r="X432" s="61"/>
      <c r="Y432" s="61"/>
      <c r="Z432" s="61"/>
      <c r="AA432" s="61"/>
      <c r="AB432" s="62"/>
      <c r="AC432" s="61"/>
      <c r="AD432" s="64"/>
      <c r="AE432" s="61"/>
    </row>
    <row r="433" spans="1:31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4"/>
      <c r="U433" s="64"/>
      <c r="V433" s="62"/>
      <c r="W433" s="61"/>
      <c r="X433" s="61"/>
      <c r="Y433" s="61"/>
      <c r="Z433" s="61"/>
      <c r="AA433" s="61"/>
      <c r="AB433" s="62"/>
      <c r="AC433" s="61"/>
      <c r="AD433" s="64"/>
      <c r="AE433" s="61"/>
    </row>
    <row r="434" spans="1:31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4"/>
      <c r="U434" s="64"/>
      <c r="V434" s="62"/>
      <c r="W434" s="61"/>
      <c r="X434" s="61"/>
      <c r="Y434" s="61"/>
      <c r="Z434" s="61"/>
      <c r="AA434" s="61"/>
      <c r="AB434" s="62"/>
      <c r="AC434" s="61"/>
      <c r="AD434" s="64"/>
      <c r="AE434" s="61"/>
    </row>
    <row r="435" spans="1:31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4"/>
      <c r="U435" s="64"/>
      <c r="V435" s="62"/>
      <c r="W435" s="61"/>
      <c r="X435" s="61"/>
      <c r="Y435" s="61"/>
      <c r="Z435" s="61"/>
      <c r="AA435" s="61"/>
      <c r="AB435" s="62"/>
      <c r="AC435" s="61"/>
      <c r="AD435" s="64"/>
      <c r="AE435" s="61"/>
    </row>
    <row r="436" spans="1:31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4"/>
      <c r="U436" s="64"/>
      <c r="V436" s="62"/>
      <c r="W436" s="61"/>
      <c r="X436" s="61"/>
      <c r="Y436" s="61"/>
      <c r="Z436" s="61"/>
      <c r="AA436" s="61"/>
      <c r="AB436" s="62"/>
      <c r="AC436" s="61"/>
      <c r="AD436" s="64"/>
      <c r="AE436" s="61"/>
    </row>
    <row r="437" spans="1:31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4"/>
      <c r="U437" s="64"/>
      <c r="V437" s="62"/>
      <c r="W437" s="61"/>
      <c r="X437" s="61"/>
      <c r="Y437" s="61"/>
      <c r="Z437" s="61"/>
      <c r="AA437" s="61"/>
      <c r="AB437" s="62"/>
      <c r="AC437" s="61"/>
      <c r="AD437" s="64"/>
      <c r="AE437" s="61"/>
    </row>
    <row r="438" spans="1:31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4"/>
      <c r="U438" s="64"/>
      <c r="V438" s="62"/>
      <c r="W438" s="61"/>
      <c r="X438" s="61"/>
      <c r="Y438" s="61"/>
      <c r="Z438" s="61"/>
      <c r="AA438" s="61"/>
      <c r="AB438" s="62"/>
      <c r="AC438" s="61"/>
      <c r="AD438" s="64"/>
      <c r="AE438" s="61"/>
    </row>
    <row r="439" spans="1:31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4"/>
      <c r="U439" s="64"/>
      <c r="V439" s="62"/>
      <c r="W439" s="61"/>
      <c r="X439" s="61"/>
      <c r="Y439" s="61"/>
      <c r="Z439" s="61"/>
      <c r="AA439" s="61"/>
      <c r="AB439" s="62"/>
      <c r="AC439" s="61"/>
      <c r="AD439" s="64"/>
      <c r="AE439" s="61"/>
    </row>
    <row r="440" spans="1:31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4"/>
      <c r="U440" s="64"/>
      <c r="V440" s="62"/>
      <c r="W440" s="61"/>
      <c r="X440" s="61"/>
      <c r="Y440" s="61"/>
      <c r="Z440" s="61"/>
      <c r="AA440" s="61"/>
      <c r="AB440" s="62"/>
      <c r="AC440" s="61"/>
      <c r="AD440" s="64"/>
      <c r="AE440" s="61"/>
    </row>
    <row r="441" spans="1:3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4"/>
      <c r="U441" s="64"/>
      <c r="V441" s="62"/>
      <c r="W441" s="61"/>
      <c r="X441" s="61"/>
      <c r="Y441" s="61"/>
      <c r="Z441" s="61"/>
      <c r="AA441" s="61"/>
      <c r="AB441" s="62"/>
      <c r="AC441" s="61"/>
      <c r="AD441" s="64"/>
      <c r="AE441" s="61"/>
    </row>
    <row r="442" spans="1:31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4"/>
      <c r="U442" s="64"/>
      <c r="V442" s="62"/>
      <c r="W442" s="61"/>
      <c r="X442" s="61"/>
      <c r="Y442" s="61"/>
      <c r="Z442" s="61"/>
      <c r="AA442" s="61"/>
      <c r="AB442" s="62"/>
      <c r="AC442" s="61"/>
      <c r="AD442" s="64"/>
      <c r="AE442" s="61"/>
    </row>
    <row r="443" spans="1:31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4"/>
      <c r="U443" s="64"/>
      <c r="V443" s="62"/>
      <c r="W443" s="61"/>
      <c r="X443" s="61"/>
      <c r="Y443" s="61"/>
      <c r="Z443" s="61"/>
      <c r="AA443" s="61"/>
      <c r="AB443" s="62"/>
      <c r="AC443" s="61"/>
      <c r="AD443" s="64"/>
      <c r="AE443" s="61"/>
    </row>
    <row r="444" spans="1:31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4"/>
      <c r="U444" s="64"/>
      <c r="V444" s="62"/>
      <c r="W444" s="61"/>
      <c r="X444" s="61"/>
      <c r="Y444" s="61"/>
      <c r="Z444" s="61"/>
      <c r="AA444" s="61"/>
      <c r="AB444" s="62"/>
      <c r="AC444" s="61"/>
      <c r="AD444" s="64"/>
      <c r="AE444" s="61"/>
    </row>
    <row r="445" spans="1:31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4"/>
      <c r="U445" s="64"/>
      <c r="V445" s="62"/>
      <c r="W445" s="61"/>
      <c r="X445" s="61"/>
      <c r="Y445" s="61"/>
      <c r="Z445" s="61"/>
      <c r="AA445" s="61"/>
      <c r="AB445" s="62"/>
      <c r="AC445" s="61"/>
      <c r="AD445" s="64"/>
      <c r="AE445" s="61"/>
    </row>
    <row r="446" spans="1:31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4"/>
      <c r="U446" s="64"/>
      <c r="V446" s="62"/>
      <c r="W446" s="61"/>
      <c r="X446" s="61"/>
      <c r="Y446" s="61"/>
      <c r="Z446" s="61"/>
      <c r="AA446" s="61"/>
      <c r="AB446" s="62"/>
      <c r="AC446" s="61"/>
      <c r="AD446" s="64"/>
      <c r="AE446" s="61"/>
    </row>
    <row r="447" spans="1:31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4"/>
      <c r="U447" s="64"/>
      <c r="V447" s="62"/>
      <c r="W447" s="61"/>
      <c r="X447" s="61"/>
      <c r="Y447" s="61"/>
      <c r="Z447" s="61"/>
      <c r="AA447" s="61"/>
      <c r="AB447" s="62"/>
      <c r="AC447" s="61"/>
      <c r="AD447" s="64"/>
      <c r="AE447" s="61"/>
    </row>
    <row r="448" spans="1:31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4"/>
      <c r="U448" s="64"/>
      <c r="V448" s="62"/>
      <c r="W448" s="61"/>
      <c r="X448" s="61"/>
      <c r="Y448" s="61"/>
      <c r="Z448" s="61"/>
      <c r="AA448" s="61"/>
      <c r="AB448" s="62"/>
      <c r="AC448" s="61"/>
      <c r="AD448" s="64"/>
      <c r="AE448" s="61"/>
    </row>
    <row r="449" spans="1:31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4"/>
      <c r="U449" s="64"/>
      <c r="V449" s="62"/>
      <c r="W449" s="61"/>
      <c r="X449" s="61"/>
      <c r="Y449" s="61"/>
      <c r="Z449" s="61"/>
      <c r="AA449" s="61"/>
      <c r="AB449" s="62"/>
      <c r="AC449" s="61"/>
      <c r="AD449" s="64"/>
      <c r="AE449" s="61"/>
    </row>
    <row r="450" spans="1:31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4"/>
      <c r="U450" s="64"/>
      <c r="V450" s="62"/>
      <c r="W450" s="61"/>
      <c r="X450" s="61"/>
      <c r="Y450" s="61"/>
      <c r="Z450" s="61"/>
      <c r="AA450" s="61"/>
      <c r="AB450" s="62"/>
      <c r="AC450" s="61"/>
      <c r="AD450" s="64"/>
      <c r="AE450" s="61"/>
    </row>
    <row r="451" spans="1:3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4"/>
      <c r="U451" s="64"/>
      <c r="V451" s="62"/>
      <c r="W451" s="61"/>
      <c r="X451" s="61"/>
      <c r="Y451" s="61"/>
      <c r="Z451" s="61"/>
      <c r="AA451" s="61"/>
      <c r="AB451" s="62"/>
      <c r="AC451" s="61"/>
      <c r="AD451" s="64"/>
      <c r="AE451" s="61"/>
    </row>
    <row r="452" spans="1:31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4"/>
      <c r="U452" s="64"/>
      <c r="V452" s="62"/>
      <c r="W452" s="61"/>
      <c r="X452" s="61"/>
      <c r="Y452" s="61"/>
      <c r="Z452" s="61"/>
      <c r="AA452" s="61"/>
      <c r="AB452" s="62"/>
      <c r="AC452" s="61"/>
      <c r="AD452" s="64"/>
      <c r="AE452" s="61"/>
    </row>
    <row r="453" spans="1:31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4"/>
      <c r="U453" s="64"/>
      <c r="V453" s="62"/>
      <c r="W453" s="61"/>
      <c r="X453" s="61"/>
      <c r="Y453" s="61"/>
      <c r="Z453" s="61"/>
      <c r="AA453" s="61"/>
      <c r="AB453" s="62"/>
      <c r="AC453" s="61"/>
      <c r="AD453" s="64"/>
      <c r="AE453" s="61"/>
    </row>
    <row r="454" spans="1:31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4"/>
      <c r="U454" s="64"/>
      <c r="V454" s="62"/>
      <c r="W454" s="61"/>
      <c r="X454" s="61"/>
      <c r="Y454" s="61"/>
      <c r="Z454" s="61"/>
      <c r="AA454" s="61"/>
      <c r="AB454" s="62"/>
      <c r="AC454" s="61"/>
      <c r="AD454" s="64"/>
      <c r="AE454" s="61"/>
    </row>
    <row r="455" spans="1:31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4"/>
      <c r="U455" s="64"/>
      <c r="V455" s="62"/>
      <c r="W455" s="61"/>
      <c r="X455" s="61"/>
      <c r="Y455" s="61"/>
      <c r="Z455" s="61"/>
      <c r="AA455" s="61"/>
      <c r="AB455" s="62"/>
      <c r="AC455" s="61"/>
      <c r="AD455" s="64"/>
      <c r="AE455" s="61"/>
    </row>
    <row r="456" spans="1:31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4"/>
      <c r="U456" s="64"/>
      <c r="V456" s="62"/>
      <c r="W456" s="61"/>
      <c r="X456" s="61"/>
      <c r="Y456" s="61"/>
      <c r="Z456" s="61"/>
      <c r="AA456" s="61"/>
      <c r="AB456" s="62"/>
      <c r="AC456" s="61"/>
      <c r="AD456" s="64"/>
      <c r="AE456" s="61"/>
    </row>
    <row r="457" spans="1:31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4"/>
      <c r="U457" s="64"/>
      <c r="V457" s="62"/>
      <c r="W457" s="61"/>
      <c r="X457" s="61"/>
      <c r="Y457" s="61"/>
      <c r="Z457" s="61"/>
      <c r="AA457" s="61"/>
      <c r="AB457" s="62"/>
      <c r="AC457" s="61"/>
      <c r="AD457" s="64"/>
      <c r="AE457" s="61"/>
    </row>
    <row r="458" spans="1:31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4"/>
      <c r="U458" s="64"/>
      <c r="V458" s="62"/>
      <c r="W458" s="61"/>
      <c r="X458" s="61"/>
      <c r="Y458" s="61"/>
      <c r="Z458" s="61"/>
      <c r="AA458" s="61"/>
      <c r="AB458" s="62"/>
      <c r="AC458" s="61"/>
      <c r="AD458" s="64"/>
      <c r="AE458" s="61"/>
    </row>
    <row r="459" spans="1:31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4"/>
      <c r="U459" s="64"/>
      <c r="V459" s="62"/>
      <c r="W459" s="61"/>
      <c r="X459" s="61"/>
      <c r="Y459" s="61"/>
      <c r="Z459" s="61"/>
      <c r="AA459" s="61"/>
      <c r="AB459" s="62"/>
      <c r="AC459" s="61"/>
      <c r="AD459" s="64"/>
      <c r="AE459" s="61"/>
    </row>
    <row r="460" spans="1:31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4"/>
      <c r="U460" s="64"/>
      <c r="V460" s="62"/>
      <c r="W460" s="61"/>
      <c r="X460" s="61"/>
      <c r="Y460" s="61"/>
      <c r="Z460" s="61"/>
      <c r="AA460" s="61"/>
      <c r="AB460" s="62"/>
      <c r="AC460" s="61"/>
      <c r="AD460" s="64"/>
      <c r="AE460" s="61"/>
    </row>
    <row r="461" spans="1:3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4"/>
      <c r="U461" s="64"/>
      <c r="V461" s="62"/>
      <c r="W461" s="61"/>
      <c r="X461" s="61"/>
      <c r="Y461" s="61"/>
      <c r="Z461" s="61"/>
      <c r="AA461" s="61"/>
      <c r="AB461" s="62"/>
      <c r="AC461" s="61"/>
      <c r="AD461" s="64"/>
      <c r="AE461" s="61"/>
    </row>
    <row r="462" spans="1:31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4"/>
      <c r="U462" s="64"/>
      <c r="V462" s="62"/>
      <c r="W462" s="61"/>
      <c r="X462" s="61"/>
      <c r="Y462" s="61"/>
      <c r="Z462" s="61"/>
      <c r="AA462" s="61"/>
      <c r="AB462" s="62"/>
      <c r="AC462" s="61"/>
      <c r="AD462" s="64"/>
      <c r="AE462" s="61"/>
    </row>
    <row r="463" spans="1:31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4"/>
      <c r="U463" s="64"/>
      <c r="V463" s="62"/>
      <c r="W463" s="61"/>
      <c r="X463" s="61"/>
      <c r="Y463" s="61"/>
      <c r="Z463" s="61"/>
      <c r="AA463" s="61"/>
      <c r="AB463" s="62"/>
      <c r="AC463" s="61"/>
      <c r="AD463" s="64"/>
      <c r="AE463" s="61"/>
    </row>
    <row r="464" spans="1:31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4"/>
      <c r="U464" s="64"/>
      <c r="V464" s="62"/>
      <c r="W464" s="61"/>
      <c r="X464" s="61"/>
      <c r="Y464" s="61"/>
      <c r="Z464" s="61"/>
      <c r="AA464" s="61"/>
      <c r="AB464" s="62"/>
      <c r="AC464" s="61"/>
      <c r="AD464" s="64"/>
      <c r="AE464" s="61"/>
    </row>
    <row r="465" spans="1:31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4"/>
      <c r="U465" s="64"/>
      <c r="V465" s="62"/>
      <c r="W465" s="61"/>
      <c r="X465" s="61"/>
      <c r="Y465" s="61"/>
      <c r="Z465" s="61"/>
      <c r="AA465" s="61"/>
      <c r="AB465" s="62"/>
      <c r="AC465" s="61"/>
      <c r="AD465" s="64"/>
      <c r="AE465" s="61"/>
    </row>
    <row r="466" spans="1:31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4"/>
      <c r="U466" s="64"/>
      <c r="V466" s="62"/>
      <c r="W466" s="61"/>
      <c r="X466" s="61"/>
      <c r="Y466" s="61"/>
      <c r="Z466" s="61"/>
      <c r="AA466" s="61"/>
      <c r="AB466" s="62"/>
      <c r="AC466" s="61"/>
      <c r="AD466" s="64"/>
      <c r="AE466" s="61"/>
    </row>
    <row r="467" spans="1:31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4"/>
      <c r="U467" s="64"/>
      <c r="V467" s="62"/>
      <c r="W467" s="61"/>
      <c r="X467" s="61"/>
      <c r="Y467" s="61"/>
      <c r="Z467" s="61"/>
      <c r="AA467" s="61"/>
      <c r="AB467" s="62"/>
      <c r="AC467" s="61"/>
      <c r="AD467" s="64"/>
      <c r="AE467" s="61"/>
    </row>
    <row r="468" spans="1:31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4"/>
      <c r="U468" s="64"/>
      <c r="V468" s="62"/>
      <c r="W468" s="61"/>
      <c r="X468" s="61"/>
      <c r="Y468" s="61"/>
      <c r="Z468" s="61"/>
      <c r="AA468" s="61"/>
      <c r="AB468" s="62"/>
      <c r="AC468" s="61"/>
      <c r="AD468" s="64"/>
      <c r="AE468" s="61"/>
    </row>
    <row r="469" spans="1:31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4"/>
      <c r="U469" s="64"/>
      <c r="V469" s="62"/>
      <c r="W469" s="61"/>
      <c r="X469" s="61"/>
      <c r="Y469" s="61"/>
      <c r="Z469" s="61"/>
      <c r="AA469" s="61"/>
      <c r="AB469" s="62"/>
      <c r="AC469" s="61"/>
      <c r="AD469" s="64"/>
      <c r="AE469" s="61"/>
    </row>
    <row r="470" spans="1:31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4"/>
      <c r="U470" s="64"/>
      <c r="V470" s="62"/>
      <c r="W470" s="61"/>
      <c r="X470" s="61"/>
      <c r="Y470" s="61"/>
      <c r="Z470" s="61"/>
      <c r="AA470" s="61"/>
      <c r="AB470" s="62"/>
      <c r="AC470" s="61"/>
      <c r="AD470" s="64"/>
      <c r="AE470" s="61"/>
    </row>
    <row r="471" spans="1:3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4"/>
      <c r="U471" s="64"/>
      <c r="V471" s="62"/>
      <c r="W471" s="61"/>
      <c r="X471" s="61"/>
      <c r="Y471" s="61"/>
      <c r="Z471" s="61"/>
      <c r="AA471" s="61"/>
      <c r="AB471" s="62"/>
      <c r="AC471" s="61"/>
      <c r="AD471" s="64"/>
      <c r="AE471" s="61"/>
    </row>
    <row r="472" spans="1:31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4"/>
      <c r="U472" s="64"/>
      <c r="V472" s="62"/>
      <c r="W472" s="61"/>
      <c r="X472" s="61"/>
      <c r="Y472" s="61"/>
      <c r="Z472" s="61"/>
      <c r="AA472" s="61"/>
      <c r="AB472" s="62"/>
      <c r="AC472" s="61"/>
      <c r="AD472" s="64"/>
      <c r="AE472" s="61"/>
    </row>
    <row r="473" spans="1:31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4"/>
      <c r="U473" s="64"/>
      <c r="V473" s="62"/>
      <c r="W473" s="61"/>
      <c r="X473" s="61"/>
      <c r="Y473" s="61"/>
      <c r="Z473" s="61"/>
      <c r="AA473" s="61"/>
      <c r="AB473" s="62"/>
      <c r="AC473" s="61"/>
      <c r="AD473" s="64"/>
      <c r="AE473" s="61"/>
    </row>
    <row r="474" spans="1:31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4"/>
      <c r="U474" s="64"/>
      <c r="V474" s="62"/>
      <c r="W474" s="61"/>
      <c r="X474" s="61"/>
      <c r="Y474" s="61"/>
      <c r="Z474" s="61"/>
      <c r="AA474" s="61"/>
      <c r="AB474" s="62"/>
      <c r="AC474" s="61"/>
      <c r="AD474" s="64"/>
      <c r="AE474" s="61"/>
    </row>
    <row r="475" spans="1:31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4"/>
      <c r="U475" s="64"/>
      <c r="V475" s="62"/>
      <c r="W475" s="61"/>
      <c r="X475" s="61"/>
      <c r="Y475" s="61"/>
      <c r="Z475" s="61"/>
      <c r="AA475" s="61"/>
      <c r="AB475" s="62"/>
      <c r="AC475" s="61"/>
      <c r="AD475" s="64"/>
      <c r="AE475" s="61"/>
    </row>
    <row r="476" spans="1:31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4"/>
      <c r="U476" s="64"/>
      <c r="V476" s="62"/>
      <c r="W476" s="61"/>
      <c r="X476" s="61"/>
      <c r="Y476" s="61"/>
      <c r="Z476" s="61"/>
      <c r="AA476" s="61"/>
      <c r="AB476" s="62"/>
      <c r="AC476" s="61"/>
      <c r="AD476" s="64"/>
      <c r="AE476" s="61"/>
    </row>
    <row r="477" spans="1:31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4"/>
      <c r="U477" s="64"/>
      <c r="V477" s="62"/>
      <c r="W477" s="61"/>
      <c r="X477" s="61"/>
      <c r="Y477" s="61"/>
      <c r="Z477" s="61"/>
      <c r="AA477" s="61"/>
      <c r="AB477" s="62"/>
      <c r="AC477" s="61"/>
      <c r="AD477" s="64"/>
      <c r="AE477" s="61"/>
    </row>
    <row r="478" spans="1:31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4"/>
      <c r="U478" s="64"/>
      <c r="V478" s="62"/>
      <c r="W478" s="61"/>
      <c r="X478" s="61"/>
      <c r="Y478" s="61"/>
      <c r="Z478" s="61"/>
      <c r="AA478" s="61"/>
      <c r="AB478" s="62"/>
      <c r="AC478" s="61"/>
      <c r="AD478" s="64"/>
      <c r="AE478" s="61"/>
    </row>
    <row r="479" spans="1:31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4"/>
      <c r="U479" s="64"/>
      <c r="V479" s="62"/>
      <c r="W479" s="61"/>
      <c r="X479" s="61"/>
      <c r="Y479" s="61"/>
      <c r="Z479" s="61"/>
      <c r="AA479" s="61"/>
      <c r="AB479" s="62"/>
      <c r="AC479" s="61"/>
      <c r="AD479" s="64"/>
      <c r="AE479" s="61"/>
    </row>
    <row r="480" spans="1:31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4"/>
      <c r="U480" s="64"/>
      <c r="V480" s="62"/>
      <c r="W480" s="61"/>
      <c r="X480" s="61"/>
      <c r="Y480" s="61"/>
      <c r="Z480" s="61"/>
      <c r="AA480" s="61"/>
      <c r="AB480" s="62"/>
      <c r="AC480" s="61"/>
      <c r="AD480" s="64"/>
      <c r="AE480" s="61"/>
    </row>
    <row r="481" spans="1:3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4"/>
      <c r="U481" s="64"/>
      <c r="V481" s="62"/>
      <c r="W481" s="61"/>
      <c r="X481" s="61"/>
      <c r="Y481" s="61"/>
      <c r="Z481" s="61"/>
      <c r="AA481" s="61"/>
      <c r="AB481" s="62"/>
      <c r="AC481" s="61"/>
      <c r="AD481" s="64"/>
      <c r="AE481" s="61"/>
    </row>
    <row r="482" spans="1:31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4"/>
      <c r="U482" s="64"/>
      <c r="V482" s="62"/>
      <c r="W482" s="61"/>
      <c r="X482" s="61"/>
      <c r="Y482" s="61"/>
      <c r="Z482" s="61"/>
      <c r="AA482" s="61"/>
      <c r="AB482" s="62"/>
      <c r="AC482" s="61"/>
      <c r="AD482" s="64"/>
      <c r="AE482" s="61"/>
    </row>
    <row r="483" spans="1:31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4"/>
      <c r="U483" s="64"/>
      <c r="V483" s="62"/>
      <c r="W483" s="61"/>
      <c r="X483" s="61"/>
      <c r="Y483" s="61"/>
      <c r="Z483" s="61"/>
      <c r="AA483" s="61"/>
      <c r="AB483" s="62"/>
      <c r="AC483" s="61"/>
      <c r="AD483" s="64"/>
      <c r="AE483" s="61"/>
    </row>
    <row r="484" spans="1:31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4"/>
      <c r="U484" s="64"/>
      <c r="V484" s="62"/>
      <c r="W484" s="61"/>
      <c r="X484" s="61"/>
      <c r="Y484" s="61"/>
      <c r="Z484" s="61"/>
      <c r="AA484" s="61"/>
      <c r="AB484" s="62"/>
      <c r="AC484" s="61"/>
      <c r="AD484" s="64"/>
      <c r="AE484" s="61"/>
    </row>
    <row r="485" spans="1:31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4"/>
      <c r="U485" s="64"/>
      <c r="V485" s="62"/>
      <c r="W485" s="61"/>
      <c r="X485" s="61"/>
      <c r="Y485" s="61"/>
      <c r="Z485" s="61"/>
      <c r="AA485" s="61"/>
      <c r="AB485" s="62"/>
      <c r="AC485" s="61"/>
      <c r="AD485" s="64"/>
      <c r="AE485" s="61"/>
    </row>
    <row r="486" spans="1:31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4"/>
      <c r="U486" s="64"/>
      <c r="V486" s="62"/>
      <c r="W486" s="61"/>
      <c r="X486" s="61"/>
      <c r="Y486" s="61"/>
      <c r="Z486" s="61"/>
      <c r="AA486" s="61"/>
      <c r="AB486" s="62"/>
      <c r="AC486" s="61"/>
      <c r="AD486" s="64"/>
      <c r="AE486" s="61"/>
    </row>
    <row r="487" spans="1:31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4"/>
      <c r="U487" s="64"/>
      <c r="V487" s="62"/>
      <c r="W487" s="61"/>
      <c r="X487" s="61"/>
      <c r="Y487" s="61"/>
      <c r="Z487" s="61"/>
      <c r="AA487" s="61"/>
      <c r="AB487" s="62"/>
      <c r="AC487" s="61"/>
      <c r="AD487" s="64"/>
      <c r="AE487" s="61"/>
    </row>
    <row r="488" spans="1:31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4"/>
      <c r="U488" s="64"/>
      <c r="V488" s="62"/>
      <c r="W488" s="61"/>
      <c r="X488" s="61"/>
      <c r="Y488" s="61"/>
      <c r="Z488" s="61"/>
      <c r="AA488" s="61"/>
      <c r="AB488" s="62"/>
      <c r="AC488" s="61"/>
      <c r="AD488" s="64"/>
      <c r="AE488" s="61"/>
    </row>
    <row r="489" spans="1:31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4"/>
      <c r="U489" s="64"/>
      <c r="V489" s="62"/>
      <c r="W489" s="61"/>
      <c r="X489" s="61"/>
      <c r="Y489" s="61"/>
      <c r="Z489" s="61"/>
      <c r="AA489" s="61"/>
      <c r="AB489" s="62"/>
      <c r="AC489" s="61"/>
      <c r="AD489" s="64"/>
      <c r="AE489" s="61"/>
    </row>
    <row r="490" spans="1:31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4"/>
      <c r="U490" s="64"/>
      <c r="V490" s="62"/>
      <c r="W490" s="61"/>
      <c r="X490" s="61"/>
      <c r="Y490" s="61"/>
      <c r="Z490" s="61"/>
      <c r="AA490" s="61"/>
      <c r="AB490" s="62"/>
      <c r="AC490" s="61"/>
      <c r="AD490" s="64"/>
      <c r="AE490" s="61"/>
    </row>
    <row r="491" spans="1:3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4"/>
      <c r="U491" s="64"/>
      <c r="V491" s="62"/>
      <c r="W491" s="61"/>
      <c r="X491" s="61"/>
      <c r="Y491" s="61"/>
      <c r="Z491" s="61"/>
      <c r="AA491" s="61"/>
      <c r="AB491" s="62"/>
      <c r="AC491" s="61"/>
      <c r="AD491" s="64"/>
      <c r="AE491" s="61"/>
    </row>
    <row r="492" spans="1:31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4"/>
      <c r="U492" s="64"/>
      <c r="V492" s="62"/>
      <c r="W492" s="61"/>
      <c r="X492" s="61"/>
      <c r="Y492" s="61"/>
      <c r="Z492" s="61"/>
      <c r="AA492" s="61"/>
      <c r="AB492" s="62"/>
      <c r="AC492" s="61"/>
      <c r="AD492" s="64"/>
      <c r="AE492" s="61"/>
    </row>
    <row r="493" spans="1:31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4"/>
      <c r="U493" s="64"/>
      <c r="V493" s="62"/>
      <c r="W493" s="61"/>
      <c r="X493" s="61"/>
      <c r="Y493" s="61"/>
      <c r="Z493" s="61"/>
      <c r="AA493" s="61"/>
      <c r="AB493" s="62"/>
      <c r="AC493" s="61"/>
      <c r="AD493" s="64"/>
      <c r="AE493" s="61"/>
    </row>
    <row r="494" spans="1:31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4"/>
      <c r="U494" s="64"/>
      <c r="V494" s="62"/>
      <c r="W494" s="61"/>
      <c r="X494" s="61"/>
      <c r="Y494" s="61"/>
      <c r="Z494" s="61"/>
      <c r="AA494" s="61"/>
      <c r="AB494" s="62"/>
      <c r="AC494" s="61"/>
      <c r="AD494" s="64"/>
      <c r="AE494" s="61"/>
    </row>
    <row r="495" spans="1:31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4"/>
      <c r="U495" s="64"/>
      <c r="V495" s="62"/>
      <c r="W495" s="61"/>
      <c r="X495" s="61"/>
      <c r="Y495" s="61"/>
      <c r="Z495" s="61"/>
      <c r="AA495" s="61"/>
      <c r="AB495" s="62"/>
      <c r="AC495" s="61"/>
      <c r="AD495" s="64"/>
      <c r="AE495" s="61"/>
    </row>
    <row r="496" spans="1:31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4"/>
      <c r="U496" s="64"/>
      <c r="V496" s="62"/>
      <c r="W496" s="61"/>
      <c r="X496" s="61"/>
      <c r="Y496" s="61"/>
      <c r="Z496" s="61"/>
      <c r="AA496" s="61"/>
      <c r="AB496" s="62"/>
      <c r="AC496" s="61"/>
      <c r="AD496" s="64"/>
      <c r="AE496" s="61"/>
    </row>
    <row r="497" spans="1:31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4"/>
      <c r="U497" s="64"/>
      <c r="V497" s="62"/>
      <c r="W497" s="61"/>
      <c r="X497" s="61"/>
      <c r="Y497" s="61"/>
      <c r="Z497" s="61"/>
      <c r="AA497" s="61"/>
      <c r="AB497" s="62"/>
      <c r="AC497" s="61"/>
      <c r="AD497" s="64"/>
      <c r="AE497" s="61"/>
    </row>
    <row r="498" spans="1:31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4"/>
      <c r="U498" s="64"/>
      <c r="V498" s="62"/>
      <c r="W498" s="61"/>
      <c r="X498" s="61"/>
      <c r="Y498" s="61"/>
      <c r="Z498" s="61"/>
      <c r="AA498" s="61"/>
      <c r="AB498" s="62"/>
      <c r="AC498" s="61"/>
      <c r="AD498" s="64"/>
      <c r="AE498" s="61"/>
    </row>
    <row r="499" spans="1:31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4"/>
      <c r="U499" s="64"/>
      <c r="V499" s="62"/>
      <c r="W499" s="61"/>
      <c r="X499" s="61"/>
      <c r="Y499" s="61"/>
      <c r="Z499" s="61"/>
      <c r="AA499" s="61"/>
      <c r="AB499" s="62"/>
      <c r="AC499" s="61"/>
      <c r="AD499" s="64"/>
      <c r="AE499" s="61"/>
    </row>
    <row r="500" spans="1:31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4"/>
      <c r="U500" s="64"/>
      <c r="V500" s="62"/>
      <c r="W500" s="61"/>
      <c r="X500" s="61"/>
      <c r="Y500" s="61"/>
      <c r="Z500" s="61"/>
      <c r="AA500" s="61"/>
      <c r="AB500" s="62"/>
      <c r="AC500" s="61"/>
      <c r="AD500" s="64"/>
      <c r="AE500" s="61"/>
    </row>
    <row r="501" spans="1:3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4"/>
      <c r="U501" s="64"/>
      <c r="V501" s="62"/>
      <c r="W501" s="61"/>
      <c r="X501" s="61"/>
      <c r="Y501" s="61"/>
      <c r="Z501" s="61"/>
      <c r="AA501" s="61"/>
      <c r="AB501" s="62"/>
      <c r="AC501" s="61"/>
      <c r="AD501" s="64"/>
      <c r="AE501" s="61"/>
    </row>
    <row r="502" spans="1:31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4"/>
      <c r="U502" s="64"/>
      <c r="V502" s="62"/>
      <c r="W502" s="61"/>
      <c r="X502" s="61"/>
      <c r="Y502" s="61"/>
      <c r="Z502" s="61"/>
      <c r="AA502" s="61"/>
      <c r="AB502" s="62"/>
      <c r="AC502" s="61"/>
      <c r="AD502" s="64"/>
      <c r="AE502" s="61"/>
    </row>
    <row r="503" spans="1:31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4"/>
      <c r="U503" s="64"/>
      <c r="V503" s="62"/>
      <c r="W503" s="61"/>
      <c r="X503" s="61"/>
      <c r="Y503" s="61"/>
      <c r="Z503" s="61"/>
      <c r="AA503" s="61"/>
      <c r="AB503" s="62"/>
      <c r="AC503" s="61"/>
      <c r="AD503" s="64"/>
      <c r="AE503" s="61"/>
    </row>
    <row r="504" spans="1:31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4"/>
      <c r="U504" s="64"/>
      <c r="V504" s="62"/>
      <c r="W504" s="61"/>
      <c r="X504" s="61"/>
      <c r="Y504" s="61"/>
      <c r="Z504" s="61"/>
      <c r="AA504" s="61"/>
      <c r="AB504" s="62"/>
      <c r="AC504" s="61"/>
      <c r="AD504" s="64"/>
      <c r="AE504" s="61"/>
    </row>
    <row r="505" spans="1:31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4"/>
      <c r="U505" s="64"/>
      <c r="V505" s="62"/>
      <c r="W505" s="61"/>
      <c r="X505" s="61"/>
      <c r="Y505" s="61"/>
      <c r="Z505" s="61"/>
      <c r="AA505" s="61"/>
      <c r="AB505" s="62"/>
      <c r="AC505" s="61"/>
      <c r="AD505" s="64"/>
      <c r="AE505" s="61"/>
    </row>
    <row r="506" spans="1:31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4"/>
      <c r="U506" s="64"/>
      <c r="V506" s="62"/>
      <c r="W506" s="61"/>
      <c r="X506" s="61"/>
      <c r="Y506" s="61"/>
      <c r="Z506" s="61"/>
      <c r="AA506" s="61"/>
      <c r="AB506" s="62"/>
      <c r="AC506" s="61"/>
      <c r="AD506" s="64"/>
      <c r="AE506" s="61"/>
    </row>
    <row r="507" spans="1:31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4"/>
      <c r="U507" s="64"/>
      <c r="V507" s="62"/>
      <c r="W507" s="61"/>
      <c r="X507" s="61"/>
      <c r="Y507" s="61"/>
      <c r="Z507" s="61"/>
      <c r="AA507" s="61"/>
      <c r="AB507" s="62"/>
      <c r="AC507" s="61"/>
      <c r="AD507" s="64"/>
      <c r="AE507" s="61"/>
    </row>
    <row r="508" spans="1:31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4"/>
      <c r="U508" s="64"/>
      <c r="V508" s="62"/>
      <c r="W508" s="61"/>
      <c r="X508" s="61"/>
      <c r="Y508" s="61"/>
      <c r="Z508" s="61"/>
      <c r="AA508" s="61"/>
      <c r="AB508" s="62"/>
      <c r="AC508" s="61"/>
      <c r="AD508" s="64"/>
      <c r="AE508" s="61"/>
    </row>
    <row r="509" spans="1:31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4"/>
      <c r="U509" s="64"/>
      <c r="V509" s="62"/>
      <c r="W509" s="61"/>
      <c r="X509" s="61"/>
      <c r="Y509" s="61"/>
      <c r="Z509" s="61"/>
      <c r="AA509" s="61"/>
      <c r="AB509" s="62"/>
      <c r="AC509" s="61"/>
      <c r="AD509" s="64"/>
      <c r="AE509" s="61"/>
    </row>
    <row r="510" spans="1:31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4"/>
      <c r="U510" s="64"/>
      <c r="V510" s="62"/>
      <c r="W510" s="61"/>
      <c r="X510" s="61"/>
      <c r="Y510" s="61"/>
      <c r="Z510" s="61"/>
      <c r="AA510" s="61"/>
      <c r="AB510" s="62"/>
      <c r="AC510" s="61"/>
      <c r="AD510" s="64"/>
      <c r="AE510" s="61"/>
    </row>
    <row r="511" spans="1:3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4"/>
      <c r="U511" s="64"/>
      <c r="V511" s="62"/>
      <c r="W511" s="61"/>
      <c r="X511" s="61"/>
      <c r="Y511" s="61"/>
      <c r="Z511" s="61"/>
      <c r="AA511" s="61"/>
      <c r="AB511" s="62"/>
      <c r="AC511" s="61"/>
      <c r="AD511" s="64"/>
      <c r="AE511" s="61"/>
    </row>
    <row r="512" spans="1:31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4"/>
      <c r="U512" s="64"/>
      <c r="V512" s="62"/>
      <c r="W512" s="61"/>
      <c r="X512" s="61"/>
      <c r="Y512" s="61"/>
      <c r="Z512" s="61"/>
      <c r="AA512" s="61"/>
      <c r="AB512" s="62"/>
      <c r="AC512" s="61"/>
      <c r="AD512" s="64"/>
      <c r="AE512" s="61"/>
    </row>
    <row r="513" spans="1:31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4"/>
      <c r="U513" s="64"/>
      <c r="V513" s="62"/>
      <c r="W513" s="61"/>
      <c r="X513" s="61"/>
      <c r="Y513" s="61"/>
      <c r="Z513" s="61"/>
      <c r="AA513" s="61"/>
      <c r="AB513" s="62"/>
      <c r="AC513" s="61"/>
      <c r="AD513" s="64"/>
      <c r="AE513" s="61"/>
    </row>
    <row r="514" spans="1:31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4"/>
      <c r="U514" s="64"/>
      <c r="V514" s="62"/>
      <c r="W514" s="61"/>
      <c r="X514" s="61"/>
      <c r="Y514" s="61"/>
      <c r="Z514" s="61"/>
      <c r="AA514" s="61"/>
      <c r="AB514" s="62"/>
      <c r="AC514" s="61"/>
      <c r="AD514" s="64"/>
      <c r="AE514" s="61"/>
    </row>
    <row r="515" spans="1:31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4"/>
      <c r="U515" s="64"/>
      <c r="V515" s="62"/>
      <c r="W515" s="61"/>
      <c r="X515" s="61"/>
      <c r="Y515" s="61"/>
      <c r="Z515" s="61"/>
      <c r="AA515" s="61"/>
      <c r="AB515" s="62"/>
      <c r="AC515" s="61"/>
      <c r="AD515" s="64"/>
      <c r="AE515" s="61"/>
    </row>
    <row r="516" spans="1:31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4"/>
      <c r="U516" s="64"/>
      <c r="V516" s="62"/>
      <c r="W516" s="61"/>
      <c r="X516" s="61"/>
      <c r="Y516" s="61"/>
      <c r="Z516" s="61"/>
      <c r="AA516" s="61"/>
      <c r="AB516" s="62"/>
      <c r="AC516" s="61"/>
      <c r="AD516" s="64"/>
      <c r="AE516" s="61"/>
    </row>
    <row r="517" spans="1:31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4"/>
      <c r="U517" s="64"/>
      <c r="V517" s="62"/>
      <c r="W517" s="61"/>
      <c r="X517" s="61"/>
      <c r="Y517" s="61"/>
      <c r="Z517" s="61"/>
      <c r="AA517" s="61"/>
      <c r="AB517" s="62"/>
      <c r="AC517" s="61"/>
      <c r="AD517" s="64"/>
      <c r="AE517" s="61"/>
    </row>
    <row r="518" spans="1:31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4"/>
      <c r="U518" s="64"/>
      <c r="V518" s="62"/>
      <c r="W518" s="61"/>
      <c r="X518" s="61"/>
      <c r="Y518" s="61"/>
      <c r="Z518" s="61"/>
      <c r="AA518" s="61"/>
      <c r="AB518" s="62"/>
      <c r="AC518" s="61"/>
      <c r="AD518" s="64"/>
      <c r="AE518" s="61"/>
    </row>
    <row r="519" spans="1:31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4"/>
      <c r="U519" s="64"/>
      <c r="V519" s="62"/>
      <c r="W519" s="61"/>
      <c r="X519" s="61"/>
      <c r="Y519" s="61"/>
      <c r="Z519" s="61"/>
      <c r="AA519" s="61"/>
      <c r="AB519" s="62"/>
      <c r="AC519" s="61"/>
      <c r="AD519" s="64"/>
      <c r="AE519" s="61"/>
    </row>
    <row r="520" spans="1:31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4"/>
      <c r="U520" s="64"/>
      <c r="V520" s="62"/>
      <c r="W520" s="61"/>
      <c r="X520" s="61"/>
      <c r="Y520" s="61"/>
      <c r="Z520" s="61"/>
      <c r="AA520" s="61"/>
      <c r="AB520" s="62"/>
      <c r="AC520" s="61"/>
      <c r="AD520" s="64"/>
      <c r="AE520" s="61"/>
    </row>
    <row r="521" spans="1:3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4"/>
      <c r="U521" s="64"/>
      <c r="V521" s="62"/>
      <c r="W521" s="61"/>
      <c r="X521" s="61"/>
      <c r="Y521" s="61"/>
      <c r="Z521" s="61"/>
      <c r="AA521" s="61"/>
      <c r="AB521" s="62"/>
      <c r="AC521" s="61"/>
      <c r="AD521" s="64"/>
      <c r="AE521" s="61"/>
    </row>
    <row r="522" spans="1:31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4"/>
      <c r="U522" s="64"/>
      <c r="V522" s="62"/>
      <c r="W522" s="61"/>
      <c r="X522" s="61"/>
      <c r="Y522" s="61"/>
      <c r="Z522" s="61"/>
      <c r="AA522" s="61"/>
      <c r="AB522" s="62"/>
      <c r="AC522" s="61"/>
      <c r="AD522" s="64"/>
      <c r="AE522" s="61"/>
    </row>
    <row r="523" spans="1:31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4"/>
      <c r="U523" s="64"/>
      <c r="V523" s="62"/>
      <c r="W523" s="61"/>
      <c r="X523" s="61"/>
      <c r="Y523" s="61"/>
      <c r="Z523" s="61"/>
      <c r="AA523" s="61"/>
      <c r="AB523" s="62"/>
      <c r="AC523" s="61"/>
      <c r="AD523" s="64"/>
      <c r="AE523" s="61"/>
    </row>
    <row r="524" spans="1:31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4"/>
      <c r="U524" s="64"/>
      <c r="V524" s="62"/>
      <c r="W524" s="61"/>
      <c r="X524" s="61"/>
      <c r="Y524" s="61"/>
      <c r="Z524" s="61"/>
      <c r="AA524" s="61"/>
      <c r="AB524" s="62"/>
      <c r="AC524" s="61"/>
      <c r="AD524" s="64"/>
      <c r="AE524" s="61"/>
    </row>
    <row r="525" spans="1:31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4"/>
      <c r="U525" s="64"/>
      <c r="V525" s="62"/>
      <c r="W525" s="61"/>
      <c r="X525" s="61"/>
      <c r="Y525" s="61"/>
      <c r="Z525" s="61"/>
      <c r="AA525" s="61"/>
      <c r="AB525" s="62"/>
      <c r="AC525" s="61"/>
      <c r="AD525" s="64"/>
      <c r="AE525" s="61"/>
    </row>
    <row r="526" spans="1:31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4"/>
      <c r="U526" s="64"/>
      <c r="V526" s="62"/>
      <c r="W526" s="61"/>
      <c r="X526" s="61"/>
      <c r="Y526" s="61"/>
      <c r="Z526" s="61"/>
      <c r="AA526" s="61"/>
      <c r="AB526" s="62"/>
      <c r="AC526" s="61"/>
      <c r="AD526" s="64"/>
      <c r="AE526" s="61"/>
    </row>
    <row r="527" spans="1:31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4"/>
      <c r="U527" s="64"/>
      <c r="V527" s="62"/>
      <c r="W527" s="61"/>
      <c r="X527" s="61"/>
      <c r="Y527" s="61"/>
      <c r="Z527" s="61"/>
      <c r="AA527" s="61"/>
      <c r="AB527" s="62"/>
      <c r="AC527" s="61"/>
      <c r="AD527" s="64"/>
      <c r="AE527" s="61"/>
    </row>
    <row r="528" spans="1:31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4"/>
      <c r="U528" s="64"/>
      <c r="V528" s="62"/>
      <c r="W528" s="61"/>
      <c r="X528" s="61"/>
      <c r="Y528" s="61"/>
      <c r="Z528" s="61"/>
      <c r="AA528" s="61"/>
      <c r="AB528" s="62"/>
      <c r="AC528" s="61"/>
      <c r="AD528" s="64"/>
      <c r="AE528" s="61"/>
    </row>
    <row r="529" spans="1:31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4"/>
      <c r="U529" s="64"/>
      <c r="V529" s="62"/>
      <c r="W529" s="61"/>
      <c r="X529" s="61"/>
      <c r="Y529" s="61"/>
      <c r="Z529" s="61"/>
      <c r="AA529" s="61"/>
      <c r="AB529" s="62"/>
      <c r="AC529" s="61"/>
      <c r="AD529" s="64"/>
      <c r="AE529" s="61"/>
    </row>
    <row r="530" spans="1:31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4"/>
      <c r="U530" s="64"/>
      <c r="V530" s="62"/>
      <c r="W530" s="61"/>
      <c r="X530" s="61"/>
      <c r="Y530" s="61"/>
      <c r="Z530" s="61"/>
      <c r="AA530" s="61"/>
      <c r="AB530" s="62"/>
      <c r="AC530" s="61"/>
      <c r="AD530" s="64"/>
      <c r="AE530" s="61"/>
    </row>
    <row r="531" spans="1: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4"/>
      <c r="U531" s="64"/>
      <c r="V531" s="62"/>
      <c r="W531" s="61"/>
      <c r="X531" s="61"/>
      <c r="Y531" s="61"/>
      <c r="Z531" s="61"/>
      <c r="AA531" s="61"/>
      <c r="AB531" s="62"/>
      <c r="AC531" s="61"/>
      <c r="AD531" s="64"/>
      <c r="AE531" s="61"/>
    </row>
    <row r="532" spans="1:31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4"/>
      <c r="U532" s="64"/>
      <c r="V532" s="62"/>
      <c r="W532" s="61"/>
      <c r="X532" s="61"/>
      <c r="Y532" s="61"/>
      <c r="Z532" s="61"/>
      <c r="AA532" s="61"/>
      <c r="AB532" s="62"/>
      <c r="AC532" s="61"/>
      <c r="AD532" s="64"/>
      <c r="AE532" s="61"/>
    </row>
    <row r="533" spans="1:31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4"/>
      <c r="U533" s="64"/>
      <c r="V533" s="62"/>
      <c r="W533" s="61"/>
      <c r="X533" s="61"/>
      <c r="Y533" s="61"/>
      <c r="Z533" s="61"/>
      <c r="AA533" s="61"/>
      <c r="AB533" s="62"/>
      <c r="AC533" s="61"/>
      <c r="AD533" s="64"/>
      <c r="AE533" s="61"/>
    </row>
    <row r="534" spans="1:31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4"/>
      <c r="U534" s="64"/>
      <c r="V534" s="62"/>
      <c r="W534" s="61"/>
      <c r="X534" s="61"/>
      <c r="Y534" s="61"/>
      <c r="Z534" s="61"/>
      <c r="AA534" s="61"/>
      <c r="AB534" s="62"/>
      <c r="AC534" s="61"/>
      <c r="AD534" s="64"/>
      <c r="AE534" s="61"/>
    </row>
    <row r="535" spans="1:31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4"/>
      <c r="U535" s="64"/>
      <c r="V535" s="62"/>
      <c r="W535" s="61"/>
      <c r="X535" s="61"/>
      <c r="Y535" s="61"/>
      <c r="Z535" s="61"/>
      <c r="AA535" s="61"/>
      <c r="AB535" s="62"/>
      <c r="AC535" s="61"/>
      <c r="AD535" s="64"/>
      <c r="AE535" s="61"/>
    </row>
    <row r="536" spans="1:31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4"/>
      <c r="U536" s="64"/>
      <c r="V536" s="62"/>
      <c r="W536" s="61"/>
      <c r="X536" s="61"/>
      <c r="Y536" s="61"/>
      <c r="Z536" s="61"/>
      <c r="AA536" s="61"/>
      <c r="AB536" s="62"/>
      <c r="AC536" s="61"/>
      <c r="AD536" s="64"/>
      <c r="AE536" s="61"/>
    </row>
    <row r="537" spans="1:31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4"/>
      <c r="U537" s="64"/>
      <c r="V537" s="62"/>
      <c r="W537" s="61"/>
      <c r="X537" s="61"/>
      <c r="Y537" s="61"/>
      <c r="Z537" s="61"/>
      <c r="AA537" s="61"/>
      <c r="AB537" s="62"/>
      <c r="AC537" s="61"/>
      <c r="AD537" s="64"/>
      <c r="AE537" s="61"/>
    </row>
    <row r="538" spans="1:31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4"/>
      <c r="U538" s="64"/>
      <c r="V538" s="62"/>
      <c r="W538" s="61"/>
      <c r="X538" s="61"/>
      <c r="Y538" s="61"/>
      <c r="Z538" s="61"/>
      <c r="AA538" s="61"/>
      <c r="AB538" s="62"/>
      <c r="AC538" s="61"/>
      <c r="AD538" s="64"/>
      <c r="AE538" s="61"/>
    </row>
    <row r="539" spans="1:31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4"/>
      <c r="U539" s="64"/>
      <c r="V539" s="62"/>
      <c r="W539" s="61"/>
      <c r="X539" s="61"/>
      <c r="Y539" s="61"/>
      <c r="Z539" s="61"/>
      <c r="AA539" s="61"/>
      <c r="AB539" s="62"/>
      <c r="AC539" s="61"/>
      <c r="AD539" s="64"/>
      <c r="AE539" s="61"/>
    </row>
    <row r="540" spans="1:31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4"/>
      <c r="U540" s="64"/>
      <c r="V540" s="62"/>
      <c r="W540" s="61"/>
      <c r="X540" s="61"/>
      <c r="Y540" s="61"/>
      <c r="Z540" s="61"/>
      <c r="AA540" s="61"/>
      <c r="AB540" s="62"/>
      <c r="AC540" s="61"/>
      <c r="AD540" s="64"/>
      <c r="AE540" s="61"/>
    </row>
    <row r="541" spans="1:3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4"/>
      <c r="U541" s="64"/>
      <c r="V541" s="62"/>
      <c r="W541" s="61"/>
      <c r="X541" s="61"/>
      <c r="Y541" s="61"/>
      <c r="Z541" s="61"/>
      <c r="AA541" s="61"/>
      <c r="AB541" s="62"/>
      <c r="AC541" s="61"/>
      <c r="AD541" s="64"/>
      <c r="AE541" s="61"/>
    </row>
    <row r="542" spans="1:31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4"/>
      <c r="U542" s="64"/>
      <c r="V542" s="62"/>
      <c r="W542" s="61"/>
      <c r="X542" s="61"/>
      <c r="Y542" s="61"/>
      <c r="Z542" s="61"/>
      <c r="AA542" s="61"/>
      <c r="AB542" s="62"/>
      <c r="AC542" s="61"/>
      <c r="AD542" s="64"/>
      <c r="AE542" s="61"/>
    </row>
    <row r="543" spans="1:31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4"/>
      <c r="U543" s="64"/>
      <c r="V543" s="62"/>
      <c r="W543" s="61"/>
      <c r="X543" s="61"/>
      <c r="Y543" s="61"/>
      <c r="Z543" s="61"/>
      <c r="AA543" s="61"/>
      <c r="AB543" s="62"/>
      <c r="AC543" s="61"/>
      <c r="AD543" s="64"/>
      <c r="AE543" s="61"/>
    </row>
    <row r="544" spans="1:31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4"/>
      <c r="U544" s="64"/>
      <c r="V544" s="62"/>
      <c r="W544" s="61"/>
      <c r="X544" s="61"/>
      <c r="Y544" s="61"/>
      <c r="Z544" s="61"/>
      <c r="AA544" s="61"/>
      <c r="AB544" s="62"/>
      <c r="AC544" s="61"/>
      <c r="AD544" s="64"/>
      <c r="AE544" s="61"/>
    </row>
    <row r="545" spans="1:31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4"/>
      <c r="U545" s="64"/>
      <c r="V545" s="62"/>
      <c r="W545" s="61"/>
      <c r="X545" s="61"/>
      <c r="Y545" s="61"/>
      <c r="Z545" s="61"/>
      <c r="AA545" s="61"/>
      <c r="AB545" s="62"/>
      <c r="AC545" s="61"/>
      <c r="AD545" s="64"/>
      <c r="AE545" s="61"/>
    </row>
    <row r="546" spans="1:31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4"/>
      <c r="U546" s="64"/>
      <c r="V546" s="62"/>
      <c r="W546" s="61"/>
      <c r="X546" s="61"/>
      <c r="Y546" s="61"/>
      <c r="Z546" s="61"/>
      <c r="AA546" s="61"/>
      <c r="AB546" s="62"/>
      <c r="AC546" s="61"/>
      <c r="AD546" s="64"/>
      <c r="AE546" s="61"/>
    </row>
    <row r="547" spans="1:31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4"/>
      <c r="U547" s="64"/>
      <c r="V547" s="62"/>
      <c r="W547" s="61"/>
      <c r="X547" s="61"/>
      <c r="Y547" s="61"/>
      <c r="Z547" s="61"/>
      <c r="AA547" s="61"/>
      <c r="AB547" s="62"/>
      <c r="AC547" s="61"/>
      <c r="AD547" s="64"/>
      <c r="AE547" s="61"/>
    </row>
    <row r="548" spans="1:31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4"/>
      <c r="U548" s="64"/>
      <c r="V548" s="62"/>
      <c r="W548" s="61"/>
      <c r="X548" s="61"/>
      <c r="Y548" s="61"/>
      <c r="Z548" s="61"/>
      <c r="AA548" s="61"/>
      <c r="AB548" s="62"/>
      <c r="AC548" s="61"/>
      <c r="AD548" s="64"/>
      <c r="AE548" s="61"/>
    </row>
    <row r="549" spans="1:31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4"/>
      <c r="U549" s="64"/>
      <c r="V549" s="62"/>
      <c r="W549" s="61"/>
      <c r="X549" s="61"/>
      <c r="Y549" s="61"/>
      <c r="Z549" s="61"/>
      <c r="AA549" s="61"/>
      <c r="AB549" s="62"/>
      <c r="AC549" s="61"/>
      <c r="AD549" s="64"/>
      <c r="AE549" s="61"/>
    </row>
    <row r="550" spans="1:31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4"/>
      <c r="U550" s="64"/>
      <c r="V550" s="62"/>
      <c r="W550" s="61"/>
      <c r="X550" s="61"/>
      <c r="Y550" s="61"/>
      <c r="Z550" s="61"/>
      <c r="AA550" s="61"/>
      <c r="AB550" s="62"/>
      <c r="AC550" s="61"/>
      <c r="AD550" s="64"/>
      <c r="AE550" s="61"/>
    </row>
    <row r="551" spans="1:3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4"/>
      <c r="U551" s="64"/>
      <c r="V551" s="62"/>
      <c r="W551" s="61"/>
      <c r="X551" s="61"/>
      <c r="Y551" s="61"/>
      <c r="Z551" s="61"/>
      <c r="AA551" s="61"/>
      <c r="AB551" s="62"/>
      <c r="AC551" s="61"/>
      <c r="AD551" s="64"/>
      <c r="AE551" s="61"/>
    </row>
    <row r="552" spans="1:31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4"/>
      <c r="U552" s="64"/>
      <c r="V552" s="62"/>
      <c r="W552" s="61"/>
      <c r="X552" s="61"/>
      <c r="Y552" s="61"/>
      <c r="Z552" s="61"/>
      <c r="AA552" s="61"/>
      <c r="AB552" s="62"/>
      <c r="AC552" s="61"/>
      <c r="AD552" s="64"/>
      <c r="AE552" s="61"/>
    </row>
    <row r="553" spans="1:31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4"/>
      <c r="U553" s="64"/>
      <c r="V553" s="62"/>
      <c r="W553" s="61"/>
      <c r="X553" s="61"/>
      <c r="Y553" s="61"/>
      <c r="Z553" s="61"/>
      <c r="AA553" s="61"/>
      <c r="AB553" s="62"/>
      <c r="AC553" s="61"/>
      <c r="AD553" s="64"/>
      <c r="AE553" s="61"/>
    </row>
    <row r="554" spans="1:31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4"/>
      <c r="U554" s="64"/>
      <c r="V554" s="62"/>
      <c r="W554" s="61"/>
      <c r="X554" s="61"/>
      <c r="Y554" s="61"/>
      <c r="Z554" s="61"/>
      <c r="AA554" s="61"/>
      <c r="AB554" s="62"/>
      <c r="AC554" s="61"/>
      <c r="AD554" s="64"/>
      <c r="AE554" s="61"/>
    </row>
    <row r="555" spans="1:31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4"/>
      <c r="U555" s="64"/>
      <c r="V555" s="62"/>
      <c r="W555" s="61"/>
      <c r="X555" s="61"/>
      <c r="Y555" s="61"/>
      <c r="Z555" s="61"/>
      <c r="AA555" s="61"/>
      <c r="AB555" s="62"/>
      <c r="AC555" s="61"/>
      <c r="AD555" s="64"/>
      <c r="AE555" s="61"/>
    </row>
    <row r="556" spans="1:31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4"/>
      <c r="U556" s="64"/>
      <c r="V556" s="62"/>
      <c r="W556" s="61"/>
      <c r="X556" s="61"/>
      <c r="Y556" s="61"/>
      <c r="Z556" s="61"/>
      <c r="AA556" s="61"/>
      <c r="AB556" s="62"/>
      <c r="AC556" s="61"/>
      <c r="AD556" s="64"/>
      <c r="AE556" s="61"/>
    </row>
    <row r="557" spans="1:31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4"/>
      <c r="U557" s="64"/>
      <c r="V557" s="62"/>
      <c r="W557" s="61"/>
      <c r="X557" s="61"/>
      <c r="Y557" s="61"/>
      <c r="Z557" s="61"/>
      <c r="AA557" s="61"/>
      <c r="AB557" s="62"/>
      <c r="AC557" s="61"/>
      <c r="AD557" s="64"/>
      <c r="AE557" s="61"/>
    </row>
    <row r="558" spans="1:31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4"/>
      <c r="U558" s="64"/>
      <c r="V558" s="62"/>
      <c r="W558" s="61"/>
      <c r="X558" s="61"/>
      <c r="Y558" s="61"/>
      <c r="Z558" s="61"/>
      <c r="AA558" s="61"/>
      <c r="AB558" s="62"/>
      <c r="AC558" s="61"/>
      <c r="AD558" s="64"/>
      <c r="AE558" s="61"/>
    </row>
    <row r="559" spans="1:31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4"/>
      <c r="U559" s="64"/>
      <c r="V559" s="62"/>
      <c r="W559" s="61"/>
      <c r="X559" s="61"/>
      <c r="Y559" s="61"/>
      <c r="Z559" s="61"/>
      <c r="AA559" s="61"/>
      <c r="AB559" s="62"/>
      <c r="AC559" s="61"/>
      <c r="AD559" s="64"/>
      <c r="AE559" s="61"/>
    </row>
    <row r="560" spans="1:31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4"/>
      <c r="U560" s="64"/>
      <c r="V560" s="62"/>
      <c r="W560" s="61"/>
      <c r="X560" s="61"/>
      <c r="Y560" s="61"/>
      <c r="Z560" s="61"/>
      <c r="AA560" s="61"/>
      <c r="AB560" s="62"/>
      <c r="AC560" s="61"/>
      <c r="AD560" s="64"/>
      <c r="AE560" s="61"/>
    </row>
    <row r="561" spans="1:3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4"/>
      <c r="U561" s="64"/>
      <c r="V561" s="62"/>
      <c r="W561" s="61"/>
      <c r="X561" s="61"/>
      <c r="Y561" s="61"/>
      <c r="Z561" s="61"/>
      <c r="AA561" s="61"/>
      <c r="AB561" s="62"/>
      <c r="AC561" s="61"/>
      <c r="AD561" s="64"/>
      <c r="AE561" s="61"/>
    </row>
    <row r="562" spans="1:31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4"/>
      <c r="U562" s="64"/>
      <c r="V562" s="62"/>
      <c r="W562" s="61"/>
      <c r="X562" s="61"/>
      <c r="Y562" s="61"/>
      <c r="Z562" s="61"/>
      <c r="AA562" s="61"/>
      <c r="AB562" s="62"/>
      <c r="AC562" s="61"/>
      <c r="AD562" s="64"/>
      <c r="AE562" s="61"/>
    </row>
    <row r="563" spans="1:31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4"/>
      <c r="U563" s="64"/>
      <c r="V563" s="62"/>
      <c r="W563" s="61"/>
      <c r="X563" s="61"/>
      <c r="Y563" s="61"/>
      <c r="Z563" s="61"/>
      <c r="AA563" s="61"/>
      <c r="AB563" s="62"/>
      <c r="AC563" s="61"/>
      <c r="AD563" s="64"/>
      <c r="AE563" s="61"/>
    </row>
    <row r="564" spans="1:31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4"/>
      <c r="U564" s="64"/>
      <c r="V564" s="62"/>
      <c r="W564" s="61"/>
      <c r="X564" s="61"/>
      <c r="Y564" s="61"/>
      <c r="Z564" s="61"/>
      <c r="AA564" s="61"/>
      <c r="AB564" s="62"/>
      <c r="AC564" s="61"/>
      <c r="AD564" s="64"/>
      <c r="AE564" s="61"/>
    </row>
    <row r="565" spans="1:31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4"/>
      <c r="U565" s="64"/>
      <c r="V565" s="62"/>
      <c r="W565" s="61"/>
      <c r="X565" s="61"/>
      <c r="Y565" s="61"/>
      <c r="Z565" s="61"/>
      <c r="AA565" s="61"/>
      <c r="AB565" s="62"/>
      <c r="AC565" s="61"/>
      <c r="AD565" s="64"/>
      <c r="AE565" s="61"/>
    </row>
    <row r="566" spans="1:31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4"/>
      <c r="U566" s="64"/>
      <c r="V566" s="62"/>
      <c r="W566" s="61"/>
      <c r="X566" s="61"/>
      <c r="Y566" s="61"/>
      <c r="Z566" s="61"/>
      <c r="AA566" s="61"/>
      <c r="AB566" s="62"/>
      <c r="AC566" s="61"/>
      <c r="AD566" s="64"/>
      <c r="AE566" s="61"/>
    </row>
    <row r="567" spans="1:31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4"/>
      <c r="U567" s="64"/>
      <c r="V567" s="62"/>
      <c r="W567" s="61"/>
      <c r="X567" s="61"/>
      <c r="Y567" s="61"/>
      <c r="Z567" s="61"/>
      <c r="AA567" s="61"/>
      <c r="AB567" s="62"/>
      <c r="AC567" s="61"/>
      <c r="AD567" s="64"/>
      <c r="AE567" s="61"/>
    </row>
    <row r="568" spans="1:31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4"/>
      <c r="U568" s="64"/>
      <c r="V568" s="62"/>
      <c r="W568" s="61"/>
      <c r="X568" s="61"/>
      <c r="Y568" s="61"/>
      <c r="Z568" s="61"/>
      <c r="AA568" s="61"/>
      <c r="AB568" s="62"/>
      <c r="AC568" s="61"/>
      <c r="AD568" s="64"/>
      <c r="AE568" s="61"/>
    </row>
    <row r="569" spans="1:31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4"/>
      <c r="U569" s="64"/>
      <c r="V569" s="62"/>
      <c r="W569" s="61"/>
      <c r="X569" s="61"/>
      <c r="Y569" s="61"/>
      <c r="Z569" s="61"/>
      <c r="AA569" s="61"/>
      <c r="AB569" s="62"/>
      <c r="AC569" s="61"/>
      <c r="AD569" s="64"/>
      <c r="AE569" s="61"/>
    </row>
    <row r="570" spans="1:31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4"/>
      <c r="U570" s="64"/>
      <c r="V570" s="62"/>
      <c r="W570" s="61"/>
      <c r="X570" s="61"/>
      <c r="Y570" s="61"/>
      <c r="Z570" s="61"/>
      <c r="AA570" s="61"/>
      <c r="AB570" s="62"/>
      <c r="AC570" s="61"/>
      <c r="AD570" s="64"/>
      <c r="AE570" s="61"/>
    </row>
    <row r="571" spans="1:3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4"/>
      <c r="U571" s="64"/>
      <c r="V571" s="62"/>
      <c r="W571" s="61"/>
      <c r="X571" s="61"/>
      <c r="Y571" s="61"/>
      <c r="Z571" s="61"/>
      <c r="AA571" s="61"/>
      <c r="AB571" s="62"/>
      <c r="AC571" s="61"/>
      <c r="AD571" s="64"/>
      <c r="AE571" s="61"/>
    </row>
    <row r="572" spans="1:31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4"/>
      <c r="U572" s="64"/>
      <c r="V572" s="62"/>
      <c r="W572" s="61"/>
      <c r="X572" s="61"/>
      <c r="Y572" s="61"/>
      <c r="Z572" s="61"/>
      <c r="AA572" s="61"/>
      <c r="AB572" s="62"/>
      <c r="AC572" s="61"/>
      <c r="AD572" s="64"/>
      <c r="AE572" s="61"/>
    </row>
    <row r="573" spans="1:31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4"/>
      <c r="U573" s="64"/>
      <c r="V573" s="62"/>
      <c r="W573" s="61"/>
      <c r="X573" s="61"/>
      <c r="Y573" s="61"/>
      <c r="Z573" s="61"/>
      <c r="AA573" s="61"/>
      <c r="AB573" s="62"/>
      <c r="AC573" s="61"/>
      <c r="AD573" s="64"/>
      <c r="AE573" s="61"/>
    </row>
    <row r="574" spans="1:31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4"/>
      <c r="U574" s="64"/>
      <c r="V574" s="62"/>
      <c r="W574" s="61"/>
      <c r="X574" s="61"/>
      <c r="Y574" s="61"/>
      <c r="Z574" s="61"/>
      <c r="AA574" s="61"/>
      <c r="AB574" s="62"/>
      <c r="AC574" s="61"/>
      <c r="AD574" s="64"/>
      <c r="AE574" s="61"/>
    </row>
    <row r="575" spans="1:31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4"/>
      <c r="U575" s="64"/>
      <c r="V575" s="62"/>
      <c r="W575" s="61"/>
      <c r="X575" s="61"/>
      <c r="Y575" s="61"/>
      <c r="Z575" s="61"/>
      <c r="AA575" s="61"/>
      <c r="AB575" s="62"/>
      <c r="AC575" s="61"/>
      <c r="AD575" s="64"/>
      <c r="AE575" s="61"/>
    </row>
    <row r="576" spans="1:31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4"/>
      <c r="U576" s="64"/>
      <c r="V576" s="62"/>
      <c r="W576" s="61"/>
      <c r="X576" s="61"/>
      <c r="Y576" s="61"/>
      <c r="Z576" s="61"/>
      <c r="AA576" s="61"/>
      <c r="AB576" s="62"/>
      <c r="AC576" s="61"/>
      <c r="AD576" s="64"/>
      <c r="AE576" s="61"/>
    </row>
    <row r="577" spans="1:31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4"/>
      <c r="U577" s="64"/>
      <c r="V577" s="62"/>
      <c r="W577" s="61"/>
      <c r="X577" s="61"/>
      <c r="Y577" s="61"/>
      <c r="Z577" s="61"/>
      <c r="AA577" s="61"/>
      <c r="AB577" s="62"/>
      <c r="AC577" s="61"/>
      <c r="AD577" s="64"/>
      <c r="AE577" s="61"/>
    </row>
    <row r="578" spans="1:31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4"/>
      <c r="U578" s="64"/>
      <c r="V578" s="62"/>
      <c r="W578" s="61"/>
      <c r="X578" s="61"/>
      <c r="Y578" s="61"/>
      <c r="Z578" s="61"/>
      <c r="AA578" s="61"/>
      <c r="AB578" s="62"/>
      <c r="AC578" s="61"/>
      <c r="AD578" s="64"/>
      <c r="AE578" s="61"/>
    </row>
    <row r="579" spans="1:31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4"/>
      <c r="U579" s="64"/>
      <c r="V579" s="62"/>
      <c r="W579" s="61"/>
      <c r="X579" s="61"/>
      <c r="Y579" s="61"/>
      <c r="Z579" s="61"/>
      <c r="AA579" s="61"/>
      <c r="AB579" s="62"/>
      <c r="AC579" s="61"/>
      <c r="AD579" s="64"/>
      <c r="AE579" s="61"/>
    </row>
    <row r="580" spans="1:31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4"/>
      <c r="U580" s="64"/>
      <c r="V580" s="62"/>
      <c r="W580" s="61"/>
      <c r="X580" s="61"/>
      <c r="Y580" s="61"/>
      <c r="Z580" s="61"/>
      <c r="AA580" s="61"/>
      <c r="AB580" s="62"/>
      <c r="AC580" s="61"/>
      <c r="AD580" s="64"/>
      <c r="AE580" s="61"/>
    </row>
    <row r="581" spans="1:3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4"/>
      <c r="U581" s="64"/>
      <c r="V581" s="62"/>
      <c r="W581" s="61"/>
      <c r="X581" s="61"/>
      <c r="Y581" s="61"/>
      <c r="Z581" s="61"/>
      <c r="AA581" s="61"/>
      <c r="AB581" s="62"/>
      <c r="AC581" s="61"/>
      <c r="AD581" s="64"/>
      <c r="AE581" s="61"/>
    </row>
    <row r="582" spans="1:31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4"/>
      <c r="U582" s="64"/>
      <c r="V582" s="62"/>
      <c r="W582" s="61"/>
      <c r="X582" s="61"/>
      <c r="Y582" s="61"/>
      <c r="Z582" s="61"/>
      <c r="AA582" s="61"/>
      <c r="AB582" s="62"/>
      <c r="AC582" s="61"/>
      <c r="AD582" s="64"/>
      <c r="AE582" s="61"/>
    </row>
    <row r="583" spans="1:31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4"/>
      <c r="U583" s="64"/>
      <c r="V583" s="62"/>
      <c r="W583" s="61"/>
      <c r="X583" s="61"/>
      <c r="Y583" s="61"/>
      <c r="Z583" s="61"/>
      <c r="AA583" s="61"/>
      <c r="AB583" s="62"/>
      <c r="AC583" s="61"/>
      <c r="AD583" s="64"/>
      <c r="AE583" s="61"/>
    </row>
    <row r="584" spans="1:31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4"/>
      <c r="U584" s="64"/>
      <c r="V584" s="62"/>
      <c r="W584" s="61"/>
      <c r="X584" s="61"/>
      <c r="Y584" s="61"/>
      <c r="Z584" s="61"/>
      <c r="AA584" s="61"/>
      <c r="AB584" s="62"/>
      <c r="AC584" s="61"/>
      <c r="AD584" s="64"/>
      <c r="AE584" s="61"/>
    </row>
    <row r="585" spans="1:31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4"/>
      <c r="U585" s="64"/>
      <c r="V585" s="62"/>
      <c r="W585" s="61"/>
      <c r="X585" s="61"/>
      <c r="Y585" s="61"/>
      <c r="Z585" s="61"/>
      <c r="AA585" s="61"/>
      <c r="AB585" s="62"/>
      <c r="AC585" s="61"/>
      <c r="AD585" s="64"/>
      <c r="AE585" s="61"/>
    </row>
    <row r="586" spans="1:31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4"/>
      <c r="U586" s="64"/>
      <c r="V586" s="62"/>
      <c r="W586" s="61"/>
      <c r="X586" s="61"/>
      <c r="Y586" s="61"/>
      <c r="Z586" s="61"/>
      <c r="AA586" s="61"/>
      <c r="AB586" s="62"/>
      <c r="AC586" s="61"/>
      <c r="AD586" s="64"/>
      <c r="AE586" s="61"/>
    </row>
    <row r="587" spans="1:31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4"/>
      <c r="U587" s="64"/>
      <c r="V587" s="62"/>
      <c r="W587" s="61"/>
      <c r="X587" s="61"/>
      <c r="Y587" s="61"/>
      <c r="Z587" s="61"/>
      <c r="AA587" s="61"/>
      <c r="AB587" s="62"/>
      <c r="AC587" s="61"/>
      <c r="AD587" s="64"/>
      <c r="AE587" s="61"/>
    </row>
    <row r="588" spans="1:31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4"/>
      <c r="U588" s="64"/>
      <c r="V588" s="62"/>
      <c r="W588" s="61"/>
      <c r="X588" s="61"/>
      <c r="Y588" s="61"/>
      <c r="Z588" s="61"/>
      <c r="AA588" s="61"/>
      <c r="AB588" s="62"/>
      <c r="AC588" s="61"/>
      <c r="AD588" s="64"/>
      <c r="AE588" s="61"/>
    </row>
    <row r="589" spans="1:31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4"/>
      <c r="U589" s="64"/>
      <c r="V589" s="62"/>
      <c r="W589" s="61"/>
      <c r="X589" s="61"/>
      <c r="Y589" s="61"/>
      <c r="Z589" s="61"/>
      <c r="AA589" s="61"/>
      <c r="AB589" s="62"/>
      <c r="AC589" s="61"/>
      <c r="AD589" s="64"/>
      <c r="AE589" s="61"/>
    </row>
    <row r="590" spans="1:31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4"/>
      <c r="U590" s="64"/>
      <c r="V590" s="62"/>
      <c r="W590" s="61"/>
      <c r="X590" s="61"/>
      <c r="Y590" s="61"/>
      <c r="Z590" s="61"/>
      <c r="AA590" s="61"/>
      <c r="AB590" s="62"/>
      <c r="AC590" s="61"/>
      <c r="AD590" s="64"/>
      <c r="AE590" s="61"/>
    </row>
    <row r="591" spans="1:3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4"/>
      <c r="U591" s="64"/>
      <c r="V591" s="62"/>
      <c r="W591" s="61"/>
      <c r="X591" s="61"/>
      <c r="Y591" s="61"/>
      <c r="Z591" s="61"/>
      <c r="AA591" s="61"/>
      <c r="AB591" s="62"/>
      <c r="AC591" s="61"/>
      <c r="AD591" s="64"/>
      <c r="AE591" s="61"/>
    </row>
    <row r="592" spans="1:31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4"/>
      <c r="U592" s="64"/>
      <c r="V592" s="62"/>
      <c r="W592" s="61"/>
      <c r="X592" s="61"/>
      <c r="Y592" s="61"/>
      <c r="Z592" s="61"/>
      <c r="AA592" s="61"/>
      <c r="AB592" s="62"/>
      <c r="AC592" s="61"/>
      <c r="AD592" s="64"/>
      <c r="AE592" s="61"/>
    </row>
    <row r="593" spans="1:31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4"/>
      <c r="U593" s="64"/>
      <c r="V593" s="62"/>
      <c r="W593" s="61"/>
      <c r="X593" s="61"/>
      <c r="Y593" s="61"/>
      <c r="Z593" s="61"/>
      <c r="AA593" s="61"/>
      <c r="AB593" s="62"/>
      <c r="AC593" s="61"/>
      <c r="AD593" s="64"/>
      <c r="AE593" s="61"/>
    </row>
    <row r="594" spans="1:31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4"/>
      <c r="U594" s="64"/>
      <c r="V594" s="62"/>
      <c r="W594" s="61"/>
      <c r="X594" s="61"/>
      <c r="Y594" s="61"/>
      <c r="Z594" s="61"/>
      <c r="AA594" s="61"/>
      <c r="AB594" s="62"/>
      <c r="AC594" s="61"/>
      <c r="AD594" s="64"/>
      <c r="AE594" s="61"/>
    </row>
    <row r="595" spans="1:31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4"/>
      <c r="U595" s="64"/>
      <c r="V595" s="62"/>
      <c r="W595" s="61"/>
      <c r="X595" s="61"/>
      <c r="Y595" s="61"/>
      <c r="Z595" s="61"/>
      <c r="AA595" s="61"/>
      <c r="AB595" s="62"/>
      <c r="AC595" s="61"/>
      <c r="AD595" s="64"/>
      <c r="AE595" s="61"/>
    </row>
    <row r="596" spans="1:31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4"/>
      <c r="U596" s="64"/>
      <c r="V596" s="62"/>
      <c r="W596" s="61"/>
      <c r="X596" s="61"/>
      <c r="Y596" s="61"/>
      <c r="Z596" s="61"/>
      <c r="AA596" s="61"/>
      <c r="AB596" s="62"/>
      <c r="AC596" s="61"/>
      <c r="AD596" s="64"/>
      <c r="AE596" s="61"/>
    </row>
    <row r="597" spans="1:31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4"/>
      <c r="U597" s="64"/>
      <c r="V597" s="62"/>
      <c r="W597" s="61"/>
      <c r="X597" s="61"/>
      <c r="Y597" s="61"/>
      <c r="Z597" s="61"/>
      <c r="AA597" s="61"/>
      <c r="AB597" s="62"/>
      <c r="AC597" s="61"/>
      <c r="AD597" s="64"/>
      <c r="AE597" s="61"/>
    </row>
    <row r="598" spans="1:31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4"/>
      <c r="U598" s="64"/>
      <c r="V598" s="62"/>
      <c r="W598" s="61"/>
      <c r="X598" s="61"/>
      <c r="Y598" s="61"/>
      <c r="Z598" s="61"/>
      <c r="AA598" s="61"/>
      <c r="AB598" s="62"/>
      <c r="AC598" s="61"/>
      <c r="AD598" s="64"/>
      <c r="AE598" s="61"/>
    </row>
    <row r="599" spans="1:31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4"/>
      <c r="U599" s="64"/>
      <c r="V599" s="62"/>
      <c r="W599" s="61"/>
      <c r="X599" s="61"/>
      <c r="Y599" s="61"/>
      <c r="Z599" s="61"/>
      <c r="AA599" s="61"/>
      <c r="AB599" s="62"/>
      <c r="AC599" s="61"/>
      <c r="AD599" s="64"/>
      <c r="AE599" s="61"/>
    </row>
    <row r="600" spans="1:31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4"/>
      <c r="U600" s="64"/>
      <c r="V600" s="62"/>
      <c r="W600" s="61"/>
      <c r="X600" s="61"/>
      <c r="Y600" s="61"/>
      <c r="Z600" s="61"/>
      <c r="AA600" s="61"/>
      <c r="AB600" s="62"/>
      <c r="AC600" s="61"/>
      <c r="AD600" s="64"/>
      <c r="AE600" s="61"/>
    </row>
    <row r="601" spans="1:3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4"/>
      <c r="U601" s="64"/>
      <c r="V601" s="62"/>
      <c r="W601" s="61"/>
      <c r="X601" s="61"/>
      <c r="Y601" s="61"/>
      <c r="Z601" s="61"/>
      <c r="AA601" s="61"/>
      <c r="AB601" s="62"/>
      <c r="AC601" s="61"/>
      <c r="AD601" s="64"/>
      <c r="AE601" s="61"/>
    </row>
    <row r="602" spans="1:31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4"/>
      <c r="U602" s="64"/>
      <c r="V602" s="62"/>
      <c r="W602" s="61"/>
      <c r="X602" s="61"/>
      <c r="Y602" s="61"/>
      <c r="Z602" s="61"/>
      <c r="AA602" s="61"/>
      <c r="AB602" s="62"/>
      <c r="AC602" s="61"/>
      <c r="AD602" s="64"/>
      <c r="AE602" s="61"/>
    </row>
    <row r="603" spans="1:31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4"/>
      <c r="U603" s="64"/>
      <c r="V603" s="62"/>
      <c r="W603" s="61"/>
      <c r="X603" s="61"/>
      <c r="Y603" s="61"/>
      <c r="Z603" s="61"/>
      <c r="AA603" s="61"/>
      <c r="AB603" s="62"/>
      <c r="AC603" s="61"/>
      <c r="AD603" s="64"/>
      <c r="AE603" s="61"/>
    </row>
    <row r="604" spans="1:31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4"/>
      <c r="U604" s="64"/>
      <c r="V604" s="62"/>
      <c r="W604" s="61"/>
      <c r="X604" s="61"/>
      <c r="Y604" s="61"/>
      <c r="Z604" s="61"/>
      <c r="AA604" s="61"/>
      <c r="AB604" s="62"/>
      <c r="AC604" s="61"/>
      <c r="AD604" s="64"/>
      <c r="AE604" s="61"/>
    </row>
    <row r="605" spans="1:31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4"/>
      <c r="U605" s="64"/>
      <c r="V605" s="62"/>
      <c r="W605" s="61"/>
      <c r="X605" s="61"/>
      <c r="Y605" s="61"/>
      <c r="Z605" s="61"/>
      <c r="AA605" s="61"/>
      <c r="AB605" s="62"/>
      <c r="AC605" s="61"/>
      <c r="AD605" s="64"/>
      <c r="AE605" s="61"/>
    </row>
    <row r="606" spans="1:31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4"/>
      <c r="U606" s="64"/>
      <c r="V606" s="62"/>
      <c r="W606" s="61"/>
      <c r="X606" s="61"/>
      <c r="Y606" s="61"/>
      <c r="Z606" s="61"/>
      <c r="AA606" s="61"/>
      <c r="AB606" s="62"/>
      <c r="AC606" s="61"/>
      <c r="AD606" s="64"/>
      <c r="AE606" s="61"/>
    </row>
    <row r="607" spans="1:31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4"/>
      <c r="U607" s="64"/>
      <c r="V607" s="62"/>
      <c r="W607" s="61"/>
      <c r="X607" s="61"/>
      <c r="Y607" s="61"/>
      <c r="Z607" s="61"/>
      <c r="AA607" s="61"/>
      <c r="AB607" s="62"/>
      <c r="AC607" s="61"/>
      <c r="AD607" s="64"/>
      <c r="AE607" s="61"/>
    </row>
    <row r="608" spans="1:31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4"/>
      <c r="U608" s="64"/>
      <c r="V608" s="62"/>
      <c r="W608" s="61"/>
      <c r="X608" s="61"/>
      <c r="Y608" s="61"/>
      <c r="Z608" s="61"/>
      <c r="AA608" s="61"/>
      <c r="AB608" s="62"/>
      <c r="AC608" s="61"/>
      <c r="AD608" s="64"/>
      <c r="AE608" s="61"/>
    </row>
    <row r="609" spans="1:31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4"/>
      <c r="U609" s="64"/>
      <c r="V609" s="62"/>
      <c r="W609" s="61"/>
      <c r="X609" s="61"/>
      <c r="Y609" s="61"/>
      <c r="Z609" s="61"/>
      <c r="AA609" s="61"/>
      <c r="AB609" s="62"/>
      <c r="AC609" s="61"/>
      <c r="AD609" s="64"/>
      <c r="AE609" s="61"/>
    </row>
    <row r="610" spans="1:31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4"/>
      <c r="U610" s="64"/>
      <c r="V610" s="62"/>
      <c r="W610" s="61"/>
      <c r="X610" s="61"/>
      <c r="Y610" s="61"/>
      <c r="Z610" s="61"/>
      <c r="AA610" s="61"/>
      <c r="AB610" s="62"/>
      <c r="AC610" s="61"/>
      <c r="AD610" s="64"/>
      <c r="AE610" s="61"/>
    </row>
    <row r="611" spans="1:3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4"/>
      <c r="U611" s="64"/>
      <c r="V611" s="62"/>
      <c r="W611" s="61"/>
      <c r="X611" s="61"/>
      <c r="Y611" s="61"/>
      <c r="Z611" s="61"/>
      <c r="AA611" s="61"/>
      <c r="AB611" s="62"/>
      <c r="AC611" s="61"/>
      <c r="AD611" s="64"/>
      <c r="AE611" s="61"/>
    </row>
    <row r="612" spans="1:31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4"/>
      <c r="U612" s="64"/>
      <c r="V612" s="62"/>
      <c r="W612" s="61"/>
      <c r="X612" s="61"/>
      <c r="Y612" s="61"/>
      <c r="Z612" s="61"/>
      <c r="AA612" s="61"/>
      <c r="AB612" s="62"/>
      <c r="AC612" s="61"/>
      <c r="AD612" s="64"/>
      <c r="AE612" s="61"/>
    </row>
    <row r="613" spans="1:31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4"/>
      <c r="U613" s="64"/>
      <c r="V613" s="62"/>
      <c r="W613" s="61"/>
      <c r="X613" s="61"/>
      <c r="Y613" s="61"/>
      <c r="Z613" s="61"/>
      <c r="AA613" s="61"/>
      <c r="AB613" s="62"/>
      <c r="AC613" s="61"/>
      <c r="AD613" s="64"/>
      <c r="AE613" s="61"/>
    </row>
    <row r="614" spans="1:31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4"/>
      <c r="U614" s="64"/>
      <c r="V614" s="62"/>
      <c r="W614" s="61"/>
      <c r="X614" s="61"/>
      <c r="Y614" s="61"/>
      <c r="Z614" s="61"/>
      <c r="AA614" s="61"/>
      <c r="AB614" s="62"/>
      <c r="AC614" s="61"/>
      <c r="AD614" s="64"/>
      <c r="AE614" s="61"/>
    </row>
    <row r="615" spans="1:31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4"/>
      <c r="U615" s="64"/>
      <c r="V615" s="62"/>
      <c r="W615" s="61"/>
      <c r="X615" s="61"/>
      <c r="Y615" s="61"/>
      <c r="Z615" s="61"/>
      <c r="AA615" s="61"/>
      <c r="AB615" s="62"/>
      <c r="AC615" s="61"/>
      <c r="AD615" s="64"/>
      <c r="AE615" s="61"/>
    </row>
    <row r="616" spans="1:31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4"/>
      <c r="U616" s="64"/>
      <c r="V616" s="62"/>
      <c r="W616" s="61"/>
      <c r="X616" s="61"/>
      <c r="Y616" s="61"/>
      <c r="Z616" s="61"/>
      <c r="AA616" s="61"/>
      <c r="AB616" s="62"/>
      <c r="AC616" s="61"/>
      <c r="AD616" s="64"/>
      <c r="AE616" s="61"/>
    </row>
    <row r="617" spans="1:31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4"/>
      <c r="U617" s="64"/>
      <c r="V617" s="62"/>
      <c r="W617" s="61"/>
      <c r="X617" s="61"/>
      <c r="Y617" s="61"/>
      <c r="Z617" s="61"/>
      <c r="AA617" s="61"/>
      <c r="AB617" s="62"/>
      <c r="AC617" s="61"/>
      <c r="AD617" s="64"/>
      <c r="AE617" s="61"/>
    </row>
    <row r="618" spans="1:31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4"/>
      <c r="U618" s="64"/>
      <c r="V618" s="62"/>
      <c r="W618" s="61"/>
      <c r="X618" s="61"/>
      <c r="Y618" s="61"/>
      <c r="Z618" s="61"/>
      <c r="AA618" s="61"/>
      <c r="AB618" s="62"/>
      <c r="AC618" s="61"/>
      <c r="AD618" s="64"/>
      <c r="AE618" s="61"/>
    </row>
    <row r="619" spans="1:31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4"/>
      <c r="U619" s="64"/>
      <c r="V619" s="62"/>
      <c r="W619" s="61"/>
      <c r="X619" s="61"/>
      <c r="Y619" s="61"/>
      <c r="Z619" s="61"/>
      <c r="AA619" s="61"/>
      <c r="AB619" s="62"/>
      <c r="AC619" s="61"/>
      <c r="AD619" s="64"/>
      <c r="AE619" s="61"/>
    </row>
    <row r="620" spans="1:31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4"/>
      <c r="U620" s="64"/>
      <c r="V620" s="62"/>
      <c r="W620" s="61"/>
      <c r="X620" s="61"/>
      <c r="Y620" s="61"/>
      <c r="Z620" s="61"/>
      <c r="AA620" s="61"/>
      <c r="AB620" s="62"/>
      <c r="AC620" s="61"/>
      <c r="AD620" s="64"/>
      <c r="AE620" s="61"/>
    </row>
    <row r="621" spans="1:3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4"/>
      <c r="U621" s="64"/>
      <c r="V621" s="62"/>
      <c r="W621" s="61"/>
      <c r="X621" s="61"/>
      <c r="Y621" s="61"/>
      <c r="Z621" s="61"/>
      <c r="AA621" s="61"/>
      <c r="AB621" s="62"/>
      <c r="AC621" s="61"/>
      <c r="AD621" s="64"/>
      <c r="AE621" s="61"/>
    </row>
    <row r="622" spans="1:31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4"/>
      <c r="U622" s="64"/>
      <c r="V622" s="62"/>
      <c r="W622" s="61"/>
      <c r="X622" s="61"/>
      <c r="Y622" s="61"/>
      <c r="Z622" s="61"/>
      <c r="AA622" s="61"/>
      <c r="AB622" s="62"/>
      <c r="AC622" s="61"/>
      <c r="AD622" s="64"/>
      <c r="AE622" s="61"/>
    </row>
    <row r="623" spans="1:31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4"/>
      <c r="U623" s="64"/>
      <c r="V623" s="62"/>
      <c r="W623" s="61"/>
      <c r="X623" s="61"/>
      <c r="Y623" s="61"/>
      <c r="Z623" s="61"/>
      <c r="AA623" s="61"/>
      <c r="AB623" s="62"/>
      <c r="AC623" s="61"/>
      <c r="AD623" s="64"/>
      <c r="AE623" s="61"/>
    </row>
    <row r="624" spans="1:31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4"/>
      <c r="U624" s="64"/>
      <c r="V624" s="62"/>
      <c r="W624" s="61"/>
      <c r="X624" s="61"/>
      <c r="Y624" s="61"/>
      <c r="Z624" s="61"/>
      <c r="AA624" s="61"/>
      <c r="AB624" s="62"/>
      <c r="AC624" s="61"/>
      <c r="AD624" s="64"/>
      <c r="AE624" s="61"/>
    </row>
    <row r="625" spans="1:31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4"/>
      <c r="U625" s="64"/>
      <c r="V625" s="62"/>
      <c r="W625" s="61"/>
      <c r="X625" s="61"/>
      <c r="Y625" s="61"/>
      <c r="Z625" s="61"/>
      <c r="AA625" s="61"/>
      <c r="AB625" s="62"/>
      <c r="AC625" s="61"/>
      <c r="AD625" s="64"/>
      <c r="AE625" s="61"/>
    </row>
    <row r="626" spans="1:31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4"/>
      <c r="U626" s="64"/>
      <c r="V626" s="62"/>
      <c r="W626" s="61"/>
      <c r="X626" s="61"/>
      <c r="Y626" s="61"/>
      <c r="Z626" s="61"/>
      <c r="AA626" s="61"/>
      <c r="AB626" s="62"/>
      <c r="AC626" s="61"/>
      <c r="AD626" s="64"/>
      <c r="AE626" s="61"/>
    </row>
    <row r="627" spans="1:31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4"/>
      <c r="U627" s="64"/>
      <c r="V627" s="62"/>
      <c r="W627" s="61"/>
      <c r="X627" s="61"/>
      <c r="Y627" s="61"/>
      <c r="Z627" s="61"/>
      <c r="AA627" s="61"/>
      <c r="AB627" s="62"/>
      <c r="AC627" s="61"/>
      <c r="AD627" s="64"/>
      <c r="AE627" s="61"/>
    </row>
    <row r="628" spans="1:31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4"/>
      <c r="U628" s="64"/>
      <c r="V628" s="62"/>
      <c r="W628" s="61"/>
      <c r="X628" s="61"/>
      <c r="Y628" s="61"/>
      <c r="Z628" s="61"/>
      <c r="AA628" s="61"/>
      <c r="AB628" s="62"/>
      <c r="AC628" s="61"/>
      <c r="AD628" s="64"/>
      <c r="AE628" s="61"/>
    </row>
    <row r="629" spans="1:31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4"/>
      <c r="U629" s="64"/>
      <c r="V629" s="62"/>
      <c r="W629" s="61"/>
      <c r="X629" s="61"/>
      <c r="Y629" s="61"/>
      <c r="Z629" s="61"/>
      <c r="AA629" s="61"/>
      <c r="AB629" s="62"/>
      <c r="AC629" s="61"/>
      <c r="AD629" s="64"/>
      <c r="AE629" s="61"/>
    </row>
    <row r="630" spans="1:31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4"/>
      <c r="U630" s="64"/>
      <c r="V630" s="62"/>
      <c r="W630" s="61"/>
      <c r="X630" s="61"/>
      <c r="Y630" s="61"/>
      <c r="Z630" s="61"/>
      <c r="AA630" s="61"/>
      <c r="AB630" s="62"/>
      <c r="AC630" s="61"/>
      <c r="AD630" s="64"/>
      <c r="AE630" s="61"/>
    </row>
    <row r="631" spans="1: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4"/>
      <c r="U631" s="64"/>
      <c r="V631" s="62"/>
      <c r="W631" s="61"/>
      <c r="X631" s="61"/>
      <c r="Y631" s="61"/>
      <c r="Z631" s="61"/>
      <c r="AA631" s="61"/>
      <c r="AB631" s="62"/>
      <c r="AC631" s="61"/>
      <c r="AD631" s="64"/>
      <c r="AE631" s="61"/>
    </row>
    <row r="632" spans="1:31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4"/>
      <c r="U632" s="64"/>
      <c r="V632" s="62"/>
      <c r="W632" s="61"/>
      <c r="X632" s="61"/>
      <c r="Y632" s="61"/>
      <c r="Z632" s="61"/>
      <c r="AA632" s="61"/>
      <c r="AB632" s="62"/>
      <c r="AC632" s="61"/>
      <c r="AD632" s="64"/>
      <c r="AE632" s="61"/>
    </row>
    <row r="633" spans="1:31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4"/>
      <c r="U633" s="64"/>
      <c r="V633" s="62"/>
      <c r="W633" s="61"/>
      <c r="X633" s="61"/>
      <c r="Y633" s="61"/>
      <c r="Z633" s="61"/>
      <c r="AA633" s="61"/>
      <c r="AB633" s="62"/>
      <c r="AC633" s="61"/>
      <c r="AD633" s="64"/>
      <c r="AE633" s="61"/>
    </row>
    <row r="634" spans="1:31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4"/>
      <c r="U634" s="64"/>
      <c r="V634" s="62"/>
      <c r="W634" s="61"/>
      <c r="X634" s="61"/>
      <c r="Y634" s="61"/>
      <c r="Z634" s="61"/>
      <c r="AA634" s="61"/>
      <c r="AB634" s="62"/>
      <c r="AC634" s="61"/>
      <c r="AD634" s="64"/>
      <c r="AE634" s="61"/>
    </row>
    <row r="635" spans="1:31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4"/>
      <c r="U635" s="64"/>
      <c r="V635" s="62"/>
      <c r="W635" s="61"/>
      <c r="X635" s="61"/>
      <c r="Y635" s="61"/>
      <c r="Z635" s="61"/>
      <c r="AA635" s="61"/>
      <c r="AB635" s="62"/>
      <c r="AC635" s="61"/>
      <c r="AD635" s="64"/>
      <c r="AE635" s="61"/>
    </row>
    <row r="636" spans="1:31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4"/>
      <c r="U636" s="64"/>
      <c r="V636" s="62"/>
      <c r="W636" s="61"/>
      <c r="X636" s="61"/>
      <c r="Y636" s="61"/>
      <c r="Z636" s="61"/>
      <c r="AA636" s="61"/>
      <c r="AB636" s="62"/>
      <c r="AC636" s="61"/>
      <c r="AD636" s="64"/>
      <c r="AE636" s="61"/>
    </row>
    <row r="637" spans="1:31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4"/>
      <c r="U637" s="64"/>
      <c r="V637" s="62"/>
      <c r="W637" s="61"/>
      <c r="X637" s="61"/>
      <c r="Y637" s="61"/>
      <c r="Z637" s="61"/>
      <c r="AA637" s="61"/>
      <c r="AB637" s="62"/>
      <c r="AC637" s="61"/>
      <c r="AD637" s="64"/>
      <c r="AE637" s="61"/>
    </row>
    <row r="638" spans="1:31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4"/>
      <c r="U638" s="64"/>
      <c r="V638" s="62"/>
      <c r="W638" s="61"/>
      <c r="X638" s="61"/>
      <c r="Y638" s="61"/>
      <c r="Z638" s="61"/>
      <c r="AA638" s="61"/>
      <c r="AB638" s="62"/>
      <c r="AC638" s="61"/>
      <c r="AD638" s="64"/>
      <c r="AE638" s="61"/>
    </row>
    <row r="639" spans="1:31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4"/>
      <c r="U639" s="64"/>
      <c r="V639" s="62"/>
      <c r="W639" s="61"/>
      <c r="X639" s="61"/>
      <c r="Y639" s="61"/>
      <c r="Z639" s="61"/>
      <c r="AA639" s="61"/>
      <c r="AB639" s="62"/>
      <c r="AC639" s="61"/>
      <c r="AD639" s="64"/>
      <c r="AE639" s="61"/>
    </row>
    <row r="640" spans="1:31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4"/>
      <c r="U640" s="64"/>
      <c r="V640" s="62"/>
      <c r="W640" s="61"/>
      <c r="X640" s="61"/>
      <c r="Y640" s="61"/>
      <c r="Z640" s="61"/>
      <c r="AA640" s="61"/>
      <c r="AB640" s="62"/>
      <c r="AC640" s="61"/>
      <c r="AD640" s="64"/>
      <c r="AE640" s="61"/>
    </row>
    <row r="641" spans="1:3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4"/>
      <c r="U641" s="64"/>
      <c r="V641" s="62"/>
      <c r="W641" s="61"/>
      <c r="X641" s="61"/>
      <c r="Y641" s="61"/>
      <c r="Z641" s="61"/>
      <c r="AA641" s="61"/>
      <c r="AB641" s="62"/>
      <c r="AC641" s="61"/>
      <c r="AD641" s="64"/>
      <c r="AE641" s="61"/>
    </row>
    <row r="642" spans="1:31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4"/>
      <c r="U642" s="64"/>
      <c r="V642" s="62"/>
      <c r="W642" s="61"/>
      <c r="X642" s="61"/>
      <c r="Y642" s="61"/>
      <c r="Z642" s="61"/>
      <c r="AA642" s="61"/>
      <c r="AB642" s="62"/>
      <c r="AC642" s="61"/>
      <c r="AD642" s="64"/>
      <c r="AE642" s="61"/>
    </row>
    <row r="643" spans="1:31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4"/>
      <c r="U643" s="64"/>
      <c r="V643" s="62"/>
      <c r="W643" s="61"/>
      <c r="X643" s="61"/>
      <c r="Y643" s="61"/>
      <c r="Z643" s="61"/>
      <c r="AA643" s="61"/>
      <c r="AB643" s="62"/>
      <c r="AC643" s="61"/>
      <c r="AD643" s="64"/>
      <c r="AE643" s="61"/>
    </row>
    <row r="644" spans="1:31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4"/>
      <c r="U644" s="64"/>
      <c r="V644" s="62"/>
      <c r="W644" s="61"/>
      <c r="X644" s="61"/>
      <c r="Y644" s="61"/>
      <c r="Z644" s="61"/>
      <c r="AA644" s="61"/>
      <c r="AB644" s="62"/>
      <c r="AC644" s="61"/>
      <c r="AD644" s="64"/>
      <c r="AE644" s="61"/>
    </row>
    <row r="645" spans="1:31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4"/>
      <c r="U645" s="64"/>
      <c r="V645" s="62"/>
      <c r="W645" s="61"/>
      <c r="X645" s="61"/>
      <c r="Y645" s="61"/>
      <c r="Z645" s="61"/>
      <c r="AA645" s="61"/>
      <c r="AB645" s="62"/>
      <c r="AC645" s="61"/>
      <c r="AD645" s="64"/>
      <c r="AE645" s="61"/>
    </row>
    <row r="646" spans="1:31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4"/>
      <c r="U646" s="64"/>
      <c r="V646" s="62"/>
      <c r="W646" s="61"/>
      <c r="X646" s="61"/>
      <c r="Y646" s="61"/>
      <c r="Z646" s="61"/>
      <c r="AA646" s="61"/>
      <c r="AB646" s="62"/>
      <c r="AC646" s="61"/>
      <c r="AD646" s="64"/>
      <c r="AE646" s="61"/>
    </row>
    <row r="647" spans="1:31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4"/>
      <c r="U647" s="64"/>
      <c r="V647" s="62"/>
      <c r="W647" s="61"/>
      <c r="X647" s="61"/>
      <c r="Y647" s="61"/>
      <c r="Z647" s="61"/>
      <c r="AA647" s="61"/>
      <c r="AB647" s="62"/>
      <c r="AC647" s="61"/>
      <c r="AD647" s="64"/>
      <c r="AE647" s="61"/>
    </row>
    <row r="648" spans="1:31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4"/>
      <c r="U648" s="64"/>
      <c r="V648" s="62"/>
      <c r="W648" s="61"/>
      <c r="X648" s="61"/>
      <c r="Y648" s="61"/>
      <c r="Z648" s="61"/>
      <c r="AA648" s="61"/>
      <c r="AB648" s="62"/>
      <c r="AC648" s="61"/>
      <c r="AD648" s="64"/>
      <c r="AE648" s="61"/>
    </row>
    <row r="649" spans="1:31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4"/>
      <c r="U649" s="64"/>
      <c r="V649" s="62"/>
      <c r="W649" s="61"/>
      <c r="X649" s="61"/>
      <c r="Y649" s="61"/>
      <c r="Z649" s="61"/>
      <c r="AA649" s="61"/>
      <c r="AB649" s="62"/>
      <c r="AC649" s="61"/>
      <c r="AD649" s="64"/>
      <c r="AE649" s="61"/>
    </row>
    <row r="650" spans="1:31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4"/>
      <c r="U650" s="64"/>
      <c r="V650" s="62"/>
      <c r="W650" s="61"/>
      <c r="X650" s="61"/>
      <c r="Y650" s="61"/>
      <c r="Z650" s="61"/>
      <c r="AA650" s="61"/>
      <c r="AB650" s="62"/>
      <c r="AC650" s="61"/>
      <c r="AD650" s="64"/>
      <c r="AE650" s="61"/>
    </row>
    <row r="651" spans="1:3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4"/>
      <c r="U651" s="64"/>
      <c r="V651" s="62"/>
      <c r="W651" s="61"/>
      <c r="X651" s="61"/>
      <c r="Y651" s="61"/>
      <c r="Z651" s="61"/>
      <c r="AA651" s="61"/>
      <c r="AB651" s="62"/>
      <c r="AC651" s="61"/>
      <c r="AD651" s="64"/>
      <c r="AE651" s="61"/>
    </row>
    <row r="652" spans="1:31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4"/>
      <c r="U652" s="64"/>
      <c r="V652" s="62"/>
      <c r="W652" s="61"/>
      <c r="X652" s="61"/>
      <c r="Y652" s="61"/>
      <c r="Z652" s="61"/>
      <c r="AA652" s="61"/>
      <c r="AB652" s="62"/>
      <c r="AC652" s="61"/>
      <c r="AD652" s="64"/>
      <c r="AE652" s="61"/>
    </row>
    <row r="653" spans="1:31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4"/>
      <c r="U653" s="64"/>
      <c r="V653" s="62"/>
      <c r="W653" s="61"/>
      <c r="X653" s="61"/>
      <c r="Y653" s="61"/>
      <c r="Z653" s="61"/>
      <c r="AA653" s="61"/>
      <c r="AB653" s="62"/>
      <c r="AC653" s="61"/>
      <c r="AD653" s="64"/>
      <c r="AE653" s="61"/>
    </row>
    <row r="654" spans="1:31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4"/>
      <c r="U654" s="64"/>
      <c r="V654" s="62"/>
      <c r="W654" s="61"/>
      <c r="X654" s="61"/>
      <c r="Y654" s="61"/>
      <c r="Z654" s="61"/>
      <c r="AA654" s="61"/>
      <c r="AB654" s="62"/>
      <c r="AC654" s="61"/>
      <c r="AD654" s="64"/>
      <c r="AE654" s="61"/>
    </row>
    <row r="655" spans="1:31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4"/>
      <c r="U655" s="64"/>
      <c r="V655" s="62"/>
      <c r="W655" s="61"/>
      <c r="X655" s="61"/>
      <c r="Y655" s="61"/>
      <c r="Z655" s="61"/>
      <c r="AA655" s="61"/>
      <c r="AB655" s="62"/>
      <c r="AC655" s="61"/>
      <c r="AD655" s="64"/>
      <c r="AE655" s="61"/>
    </row>
    <row r="656" spans="1:31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4"/>
      <c r="U656" s="64"/>
      <c r="V656" s="62"/>
      <c r="W656" s="61"/>
      <c r="X656" s="61"/>
      <c r="Y656" s="61"/>
      <c r="Z656" s="61"/>
      <c r="AA656" s="61"/>
      <c r="AB656" s="62"/>
      <c r="AC656" s="61"/>
      <c r="AD656" s="64"/>
      <c r="AE656" s="61"/>
    </row>
    <row r="657" spans="1:31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4"/>
      <c r="U657" s="64"/>
      <c r="V657" s="62"/>
      <c r="W657" s="61"/>
      <c r="X657" s="61"/>
      <c r="Y657" s="61"/>
      <c r="Z657" s="61"/>
      <c r="AA657" s="61"/>
      <c r="AB657" s="62"/>
      <c r="AC657" s="61"/>
      <c r="AD657" s="64"/>
      <c r="AE657" s="61"/>
    </row>
    <row r="658" spans="1:31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4"/>
      <c r="U658" s="64"/>
      <c r="V658" s="62"/>
      <c r="W658" s="61"/>
      <c r="X658" s="61"/>
      <c r="Y658" s="61"/>
      <c r="Z658" s="61"/>
      <c r="AA658" s="61"/>
      <c r="AB658" s="62"/>
      <c r="AC658" s="61"/>
      <c r="AD658" s="64"/>
      <c r="AE658" s="61"/>
    </row>
    <row r="659" spans="1:31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4"/>
      <c r="U659" s="64"/>
      <c r="V659" s="62"/>
      <c r="W659" s="61"/>
      <c r="X659" s="61"/>
      <c r="Y659" s="61"/>
      <c r="Z659" s="61"/>
      <c r="AA659" s="61"/>
      <c r="AB659" s="62"/>
      <c r="AC659" s="61"/>
      <c r="AD659" s="64"/>
      <c r="AE659" s="61"/>
    </row>
    <row r="660" spans="1:31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4"/>
      <c r="U660" s="64"/>
      <c r="V660" s="62"/>
      <c r="W660" s="61"/>
      <c r="X660" s="61"/>
      <c r="Y660" s="61"/>
      <c r="Z660" s="61"/>
      <c r="AA660" s="61"/>
      <c r="AB660" s="62"/>
      <c r="AC660" s="61"/>
      <c r="AD660" s="64"/>
      <c r="AE660" s="61"/>
    </row>
    <row r="661" spans="1:3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4"/>
      <c r="U661" s="64"/>
      <c r="V661" s="62"/>
      <c r="W661" s="61"/>
      <c r="X661" s="61"/>
      <c r="Y661" s="61"/>
      <c r="Z661" s="61"/>
      <c r="AA661" s="61"/>
      <c r="AB661" s="62"/>
      <c r="AC661" s="61"/>
      <c r="AD661" s="64"/>
      <c r="AE661" s="61"/>
    </row>
    <row r="662" spans="1:31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4"/>
      <c r="U662" s="64"/>
      <c r="V662" s="62"/>
      <c r="W662" s="61"/>
      <c r="X662" s="61"/>
      <c r="Y662" s="61"/>
      <c r="Z662" s="61"/>
      <c r="AA662" s="61"/>
      <c r="AB662" s="62"/>
      <c r="AC662" s="61"/>
      <c r="AD662" s="64"/>
      <c r="AE662" s="61"/>
    </row>
    <row r="663" spans="1:31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4"/>
      <c r="U663" s="64"/>
      <c r="V663" s="62"/>
      <c r="W663" s="61"/>
      <c r="X663" s="61"/>
      <c r="Y663" s="61"/>
      <c r="Z663" s="61"/>
      <c r="AA663" s="61"/>
      <c r="AB663" s="62"/>
      <c r="AC663" s="61"/>
      <c r="AD663" s="64"/>
      <c r="AE663" s="61"/>
    </row>
    <row r="664" spans="1:31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4"/>
      <c r="U664" s="64"/>
      <c r="V664" s="62"/>
      <c r="W664" s="61"/>
      <c r="X664" s="61"/>
      <c r="Y664" s="61"/>
      <c r="Z664" s="61"/>
      <c r="AA664" s="61"/>
      <c r="AB664" s="62"/>
      <c r="AC664" s="61"/>
      <c r="AD664" s="64"/>
      <c r="AE664" s="61"/>
    </row>
    <row r="665" spans="1:31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4"/>
      <c r="U665" s="64"/>
      <c r="V665" s="62"/>
      <c r="W665" s="61"/>
      <c r="X665" s="61"/>
      <c r="Y665" s="61"/>
      <c r="Z665" s="61"/>
      <c r="AA665" s="61"/>
      <c r="AB665" s="62"/>
      <c r="AC665" s="61"/>
      <c r="AD665" s="64"/>
      <c r="AE665" s="61"/>
    </row>
    <row r="666" spans="1:31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4"/>
      <c r="U666" s="64"/>
      <c r="V666" s="62"/>
      <c r="W666" s="61"/>
      <c r="X666" s="61"/>
      <c r="Y666" s="61"/>
      <c r="Z666" s="61"/>
      <c r="AA666" s="61"/>
      <c r="AB666" s="62"/>
      <c r="AC666" s="61"/>
      <c r="AD666" s="64"/>
      <c r="AE666" s="61"/>
    </row>
    <row r="667" spans="1:31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4"/>
      <c r="U667" s="64"/>
      <c r="V667" s="62"/>
      <c r="W667" s="61"/>
      <c r="X667" s="61"/>
      <c r="Y667" s="61"/>
      <c r="Z667" s="61"/>
      <c r="AA667" s="61"/>
      <c r="AB667" s="62"/>
      <c r="AC667" s="61"/>
      <c r="AD667" s="64"/>
      <c r="AE667" s="61"/>
    </row>
    <row r="668" spans="1:31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4"/>
      <c r="U668" s="64"/>
      <c r="V668" s="62"/>
      <c r="W668" s="61"/>
      <c r="X668" s="61"/>
      <c r="Y668" s="61"/>
      <c r="Z668" s="61"/>
      <c r="AA668" s="61"/>
      <c r="AB668" s="62"/>
      <c r="AC668" s="61"/>
      <c r="AD668" s="64"/>
      <c r="AE668" s="61"/>
    </row>
    <row r="669" spans="1:31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4"/>
      <c r="U669" s="64"/>
      <c r="V669" s="62"/>
      <c r="W669" s="61"/>
      <c r="X669" s="61"/>
      <c r="Y669" s="61"/>
      <c r="Z669" s="61"/>
      <c r="AA669" s="61"/>
      <c r="AB669" s="62"/>
      <c r="AC669" s="61"/>
      <c r="AD669" s="64"/>
      <c r="AE669" s="61"/>
    </row>
    <row r="670" spans="1:31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4"/>
      <c r="U670" s="64"/>
      <c r="V670" s="62"/>
      <c r="W670" s="61"/>
      <c r="X670" s="61"/>
      <c r="Y670" s="61"/>
      <c r="Z670" s="61"/>
      <c r="AA670" s="61"/>
      <c r="AB670" s="62"/>
      <c r="AC670" s="61"/>
      <c r="AD670" s="64"/>
      <c r="AE670" s="61"/>
    </row>
    <row r="671" spans="1:3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4"/>
      <c r="U671" s="64"/>
      <c r="V671" s="62"/>
      <c r="W671" s="61"/>
      <c r="X671" s="61"/>
      <c r="Y671" s="61"/>
      <c r="Z671" s="61"/>
      <c r="AA671" s="61"/>
      <c r="AB671" s="62"/>
      <c r="AC671" s="61"/>
      <c r="AD671" s="64"/>
      <c r="AE671" s="61"/>
    </row>
    <row r="672" spans="1:31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4"/>
      <c r="U672" s="64"/>
      <c r="V672" s="62"/>
      <c r="W672" s="61"/>
      <c r="X672" s="61"/>
      <c r="Y672" s="61"/>
      <c r="Z672" s="61"/>
      <c r="AA672" s="61"/>
      <c r="AB672" s="62"/>
      <c r="AC672" s="61"/>
      <c r="AD672" s="64"/>
      <c r="AE672" s="61"/>
    </row>
    <row r="673" spans="1:31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4"/>
      <c r="U673" s="64"/>
      <c r="V673" s="62"/>
      <c r="W673" s="61"/>
      <c r="X673" s="61"/>
      <c r="Y673" s="61"/>
      <c r="Z673" s="61"/>
      <c r="AA673" s="61"/>
      <c r="AB673" s="62"/>
      <c r="AC673" s="61"/>
      <c r="AD673" s="64"/>
      <c r="AE673" s="61"/>
    </row>
    <row r="674" spans="1:31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4"/>
      <c r="U674" s="64"/>
      <c r="V674" s="62"/>
      <c r="W674" s="61"/>
      <c r="X674" s="61"/>
      <c r="Y674" s="61"/>
      <c r="Z674" s="61"/>
      <c r="AA674" s="61"/>
      <c r="AB674" s="62"/>
      <c r="AC674" s="61"/>
      <c r="AD674" s="64"/>
      <c r="AE674" s="61"/>
    </row>
    <row r="675" spans="1:31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4"/>
      <c r="U675" s="64"/>
      <c r="V675" s="62"/>
      <c r="W675" s="61"/>
      <c r="X675" s="61"/>
      <c r="Y675" s="61"/>
      <c r="Z675" s="61"/>
      <c r="AA675" s="61"/>
      <c r="AB675" s="62"/>
      <c r="AC675" s="61"/>
      <c r="AD675" s="64"/>
      <c r="AE675" s="61"/>
    </row>
    <row r="676" spans="1:31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4"/>
      <c r="U676" s="64"/>
      <c r="V676" s="62"/>
      <c r="W676" s="61"/>
      <c r="X676" s="61"/>
      <c r="Y676" s="61"/>
      <c r="Z676" s="61"/>
      <c r="AA676" s="61"/>
      <c r="AB676" s="62"/>
      <c r="AC676" s="61"/>
      <c r="AD676" s="64"/>
      <c r="AE676" s="61"/>
    </row>
    <row r="677" spans="1:31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4"/>
      <c r="U677" s="64"/>
      <c r="V677" s="62"/>
      <c r="W677" s="61"/>
      <c r="X677" s="61"/>
      <c r="Y677" s="61"/>
      <c r="Z677" s="61"/>
      <c r="AA677" s="61"/>
      <c r="AB677" s="62"/>
      <c r="AC677" s="61"/>
      <c r="AD677" s="64"/>
      <c r="AE677" s="61"/>
    </row>
    <row r="678" spans="1:31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4"/>
      <c r="U678" s="64"/>
      <c r="V678" s="62"/>
      <c r="W678" s="61"/>
      <c r="X678" s="61"/>
      <c r="Y678" s="61"/>
      <c r="Z678" s="61"/>
      <c r="AA678" s="61"/>
      <c r="AB678" s="62"/>
      <c r="AC678" s="61"/>
      <c r="AD678" s="64"/>
      <c r="AE678" s="61"/>
    </row>
    <row r="679" spans="1:31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4"/>
      <c r="U679" s="64"/>
      <c r="V679" s="62"/>
      <c r="W679" s="61"/>
      <c r="X679" s="61"/>
      <c r="Y679" s="61"/>
      <c r="Z679" s="61"/>
      <c r="AA679" s="61"/>
      <c r="AB679" s="62"/>
      <c r="AC679" s="61"/>
      <c r="AD679" s="64"/>
      <c r="AE679" s="61"/>
    </row>
    <row r="680" spans="1:31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4"/>
      <c r="U680" s="64"/>
      <c r="V680" s="62"/>
      <c r="W680" s="61"/>
      <c r="X680" s="61"/>
      <c r="Y680" s="61"/>
      <c r="Z680" s="61"/>
      <c r="AA680" s="61"/>
      <c r="AB680" s="62"/>
      <c r="AC680" s="61"/>
      <c r="AD680" s="64"/>
      <c r="AE680" s="61"/>
    </row>
    <row r="681" spans="1:3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4"/>
      <c r="U681" s="64"/>
      <c r="V681" s="62"/>
      <c r="W681" s="61"/>
      <c r="X681" s="61"/>
      <c r="Y681" s="61"/>
      <c r="Z681" s="61"/>
      <c r="AA681" s="61"/>
      <c r="AB681" s="62"/>
      <c r="AC681" s="61"/>
      <c r="AD681" s="64"/>
      <c r="AE681" s="61"/>
    </row>
    <row r="682" spans="1:31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4"/>
      <c r="U682" s="64"/>
      <c r="V682" s="62"/>
      <c r="W682" s="61"/>
      <c r="X682" s="61"/>
      <c r="Y682" s="61"/>
      <c r="Z682" s="61"/>
      <c r="AA682" s="61"/>
      <c r="AB682" s="62"/>
      <c r="AC682" s="61"/>
      <c r="AD682" s="64"/>
      <c r="AE682" s="61"/>
    </row>
    <row r="683" spans="1:31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4"/>
      <c r="U683" s="64"/>
      <c r="V683" s="62"/>
      <c r="W683" s="61"/>
      <c r="X683" s="61"/>
      <c r="Y683" s="61"/>
      <c r="Z683" s="61"/>
      <c r="AA683" s="61"/>
      <c r="AB683" s="62"/>
      <c r="AC683" s="61"/>
      <c r="AD683" s="64"/>
      <c r="AE683" s="61"/>
    </row>
    <row r="684" spans="1:31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4"/>
      <c r="U684" s="64"/>
      <c r="V684" s="62"/>
      <c r="W684" s="61"/>
      <c r="X684" s="61"/>
      <c r="Y684" s="61"/>
      <c r="Z684" s="61"/>
      <c r="AA684" s="61"/>
      <c r="AB684" s="62"/>
      <c r="AC684" s="61"/>
      <c r="AD684" s="64"/>
      <c r="AE684" s="61"/>
    </row>
    <row r="685" spans="1:31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4"/>
      <c r="U685" s="64"/>
      <c r="V685" s="62"/>
      <c r="W685" s="61"/>
      <c r="X685" s="61"/>
      <c r="Y685" s="61"/>
      <c r="Z685" s="61"/>
      <c r="AA685" s="61"/>
      <c r="AB685" s="62"/>
      <c r="AC685" s="61"/>
      <c r="AD685" s="64"/>
      <c r="AE685" s="61"/>
    </row>
    <row r="686" spans="1:31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4"/>
      <c r="U686" s="64"/>
      <c r="V686" s="62"/>
      <c r="W686" s="61"/>
      <c r="X686" s="61"/>
      <c r="Y686" s="61"/>
      <c r="Z686" s="61"/>
      <c r="AA686" s="61"/>
      <c r="AB686" s="62"/>
      <c r="AC686" s="61"/>
      <c r="AD686" s="64"/>
      <c r="AE686" s="61"/>
    </row>
    <row r="687" spans="1:31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4"/>
      <c r="U687" s="64"/>
      <c r="V687" s="62"/>
      <c r="W687" s="61"/>
      <c r="X687" s="61"/>
      <c r="Y687" s="61"/>
      <c r="Z687" s="61"/>
      <c r="AA687" s="61"/>
      <c r="AB687" s="62"/>
      <c r="AC687" s="61"/>
      <c r="AD687" s="64"/>
      <c r="AE687" s="61"/>
    </row>
    <row r="688" spans="1:31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4"/>
      <c r="U688" s="64"/>
      <c r="V688" s="62"/>
      <c r="W688" s="61"/>
      <c r="X688" s="61"/>
      <c r="Y688" s="61"/>
      <c r="Z688" s="61"/>
      <c r="AA688" s="61"/>
      <c r="AB688" s="62"/>
      <c r="AC688" s="61"/>
      <c r="AD688" s="64"/>
      <c r="AE688" s="61"/>
    </row>
    <row r="689" spans="1:31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4"/>
      <c r="U689" s="64"/>
      <c r="V689" s="62"/>
      <c r="W689" s="61"/>
      <c r="X689" s="61"/>
      <c r="Y689" s="61"/>
      <c r="Z689" s="61"/>
      <c r="AA689" s="61"/>
      <c r="AB689" s="62"/>
      <c r="AC689" s="61"/>
      <c r="AD689" s="64"/>
      <c r="AE689" s="61"/>
    </row>
    <row r="690" spans="1:31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4"/>
      <c r="U690" s="64"/>
      <c r="V690" s="62"/>
      <c r="W690" s="61"/>
      <c r="X690" s="61"/>
      <c r="Y690" s="61"/>
      <c r="Z690" s="61"/>
      <c r="AA690" s="61"/>
      <c r="AB690" s="62"/>
      <c r="AC690" s="61"/>
      <c r="AD690" s="64"/>
      <c r="AE690" s="61"/>
    </row>
    <row r="691" spans="1:3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4"/>
      <c r="U691" s="64"/>
      <c r="V691" s="62"/>
      <c r="W691" s="61"/>
      <c r="X691" s="61"/>
      <c r="Y691" s="61"/>
      <c r="Z691" s="61"/>
      <c r="AA691" s="61"/>
      <c r="AB691" s="62"/>
      <c r="AC691" s="61"/>
      <c r="AD691" s="64"/>
      <c r="AE691" s="61"/>
    </row>
    <row r="692" spans="1:31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4"/>
      <c r="U692" s="64"/>
      <c r="V692" s="62"/>
      <c r="W692" s="61"/>
      <c r="X692" s="61"/>
      <c r="Y692" s="61"/>
      <c r="Z692" s="61"/>
      <c r="AA692" s="61"/>
      <c r="AB692" s="62"/>
      <c r="AC692" s="61"/>
      <c r="AD692" s="64"/>
      <c r="AE692" s="61"/>
    </row>
    <row r="693" spans="1:31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4"/>
      <c r="U693" s="64"/>
      <c r="V693" s="62"/>
      <c r="W693" s="61"/>
      <c r="X693" s="61"/>
      <c r="Y693" s="61"/>
      <c r="Z693" s="61"/>
      <c r="AA693" s="61"/>
      <c r="AB693" s="62"/>
      <c r="AC693" s="61"/>
      <c r="AD693" s="64"/>
      <c r="AE693" s="61"/>
    </row>
    <row r="694" spans="1:31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4"/>
      <c r="U694" s="64"/>
      <c r="V694" s="62"/>
      <c r="W694" s="61"/>
      <c r="X694" s="61"/>
      <c r="Y694" s="61"/>
      <c r="Z694" s="61"/>
      <c r="AA694" s="61"/>
      <c r="AB694" s="62"/>
      <c r="AC694" s="61"/>
      <c r="AD694" s="64"/>
      <c r="AE694" s="61"/>
    </row>
    <row r="695" spans="1:31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4"/>
      <c r="U695" s="64"/>
      <c r="V695" s="62"/>
      <c r="W695" s="61"/>
      <c r="X695" s="61"/>
      <c r="Y695" s="61"/>
      <c r="Z695" s="61"/>
      <c r="AA695" s="61"/>
      <c r="AB695" s="62"/>
      <c r="AC695" s="61"/>
      <c r="AD695" s="64"/>
      <c r="AE695" s="61"/>
    </row>
    <row r="696" spans="1:31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4"/>
      <c r="U696" s="64"/>
      <c r="V696" s="62"/>
      <c r="W696" s="61"/>
      <c r="X696" s="61"/>
      <c r="Y696" s="61"/>
      <c r="Z696" s="61"/>
      <c r="AA696" s="61"/>
      <c r="AB696" s="62"/>
      <c r="AC696" s="61"/>
      <c r="AD696" s="64"/>
      <c r="AE696" s="61"/>
    </row>
    <row r="697" spans="1:31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4"/>
      <c r="U697" s="64"/>
      <c r="V697" s="62"/>
      <c r="W697" s="61"/>
      <c r="X697" s="61"/>
      <c r="Y697" s="61"/>
      <c r="Z697" s="61"/>
      <c r="AA697" s="61"/>
      <c r="AB697" s="62"/>
      <c r="AC697" s="61"/>
      <c r="AD697" s="64"/>
      <c r="AE697" s="61"/>
    </row>
    <row r="698" spans="1:31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4"/>
      <c r="U698" s="64"/>
      <c r="V698" s="62"/>
      <c r="W698" s="61"/>
      <c r="X698" s="61"/>
      <c r="Y698" s="61"/>
      <c r="Z698" s="61"/>
      <c r="AA698" s="61"/>
      <c r="AB698" s="62"/>
      <c r="AC698" s="61"/>
      <c r="AD698" s="64"/>
      <c r="AE698" s="61"/>
    </row>
    <row r="699" spans="1:31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4"/>
      <c r="U699" s="64"/>
      <c r="V699" s="62"/>
      <c r="W699" s="61"/>
      <c r="X699" s="61"/>
      <c r="Y699" s="61"/>
      <c r="Z699" s="61"/>
      <c r="AA699" s="61"/>
      <c r="AB699" s="62"/>
      <c r="AC699" s="61"/>
      <c r="AD699" s="64"/>
      <c r="AE699" s="61"/>
    </row>
    <row r="700" spans="1:31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4"/>
      <c r="U700" s="64"/>
      <c r="V700" s="62"/>
      <c r="W700" s="61"/>
      <c r="X700" s="61"/>
      <c r="Y700" s="61"/>
      <c r="Z700" s="61"/>
      <c r="AA700" s="61"/>
      <c r="AB700" s="62"/>
      <c r="AC700" s="61"/>
      <c r="AD700" s="64"/>
      <c r="AE700" s="61"/>
    </row>
    <row r="701" spans="1:3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4"/>
      <c r="U701" s="64"/>
      <c r="V701" s="62"/>
      <c r="W701" s="61"/>
      <c r="X701" s="61"/>
      <c r="Y701" s="61"/>
      <c r="Z701" s="61"/>
      <c r="AA701" s="61"/>
      <c r="AB701" s="62"/>
      <c r="AC701" s="61"/>
      <c r="AD701" s="64"/>
      <c r="AE701" s="61"/>
    </row>
    <row r="702" spans="1:31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4"/>
      <c r="U702" s="64"/>
      <c r="V702" s="62"/>
      <c r="W702" s="61"/>
      <c r="X702" s="61"/>
      <c r="Y702" s="61"/>
      <c r="Z702" s="61"/>
      <c r="AA702" s="61"/>
      <c r="AB702" s="62"/>
      <c r="AC702" s="61"/>
      <c r="AD702" s="64"/>
      <c r="AE702" s="61"/>
    </row>
    <row r="703" spans="1:31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4"/>
      <c r="U703" s="64"/>
      <c r="V703" s="62"/>
      <c r="W703" s="61"/>
      <c r="X703" s="61"/>
      <c r="Y703" s="61"/>
      <c r="Z703" s="61"/>
      <c r="AA703" s="61"/>
      <c r="AB703" s="62"/>
      <c r="AC703" s="61"/>
      <c r="AD703" s="64"/>
      <c r="AE703" s="61"/>
    </row>
    <row r="704" spans="1:31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4"/>
      <c r="U704" s="64"/>
      <c r="V704" s="62"/>
      <c r="W704" s="61"/>
      <c r="X704" s="61"/>
      <c r="Y704" s="61"/>
      <c r="Z704" s="61"/>
      <c r="AA704" s="61"/>
      <c r="AB704" s="62"/>
      <c r="AC704" s="61"/>
      <c r="AD704" s="64"/>
      <c r="AE704" s="61"/>
    </row>
    <row r="705" spans="1:31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4"/>
      <c r="U705" s="64"/>
      <c r="V705" s="62"/>
      <c r="W705" s="61"/>
      <c r="X705" s="61"/>
      <c r="Y705" s="61"/>
      <c r="Z705" s="61"/>
      <c r="AA705" s="61"/>
      <c r="AB705" s="62"/>
      <c r="AC705" s="61"/>
      <c r="AD705" s="64"/>
      <c r="AE705" s="61"/>
    </row>
    <row r="706" spans="1:31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4"/>
      <c r="U706" s="64"/>
      <c r="V706" s="62"/>
      <c r="W706" s="61"/>
      <c r="X706" s="61"/>
      <c r="Y706" s="61"/>
      <c r="Z706" s="61"/>
      <c r="AA706" s="61"/>
      <c r="AB706" s="62"/>
      <c r="AC706" s="61"/>
      <c r="AD706" s="64"/>
      <c r="AE706" s="61"/>
    </row>
    <row r="707" spans="1:31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4"/>
      <c r="U707" s="64"/>
      <c r="V707" s="62"/>
      <c r="W707" s="61"/>
      <c r="X707" s="61"/>
      <c r="Y707" s="61"/>
      <c r="Z707" s="61"/>
      <c r="AA707" s="61"/>
      <c r="AB707" s="62"/>
      <c r="AC707" s="61"/>
      <c r="AD707" s="64"/>
      <c r="AE707" s="61"/>
    </row>
    <row r="708" spans="1:31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4"/>
      <c r="U708" s="64"/>
      <c r="V708" s="62"/>
      <c r="W708" s="61"/>
      <c r="X708" s="61"/>
      <c r="Y708" s="61"/>
      <c r="Z708" s="61"/>
      <c r="AA708" s="61"/>
      <c r="AB708" s="62"/>
      <c r="AC708" s="61"/>
      <c r="AD708" s="64"/>
      <c r="AE708" s="61"/>
    </row>
    <row r="709" spans="1:31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4"/>
      <c r="U709" s="64"/>
      <c r="V709" s="62"/>
      <c r="W709" s="61"/>
      <c r="X709" s="61"/>
      <c r="Y709" s="61"/>
      <c r="Z709" s="61"/>
      <c r="AA709" s="61"/>
      <c r="AB709" s="62"/>
      <c r="AC709" s="61"/>
      <c r="AD709" s="64"/>
      <c r="AE709" s="61"/>
    </row>
    <row r="710" spans="1:31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4"/>
      <c r="U710" s="64"/>
      <c r="V710" s="62"/>
      <c r="W710" s="61"/>
      <c r="X710" s="61"/>
      <c r="Y710" s="61"/>
      <c r="Z710" s="61"/>
      <c r="AA710" s="61"/>
      <c r="AB710" s="62"/>
      <c r="AC710" s="61"/>
      <c r="AD710" s="64"/>
      <c r="AE710" s="61"/>
    </row>
    <row r="711" spans="1:3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4"/>
      <c r="U711" s="64"/>
      <c r="V711" s="62"/>
      <c r="W711" s="61"/>
      <c r="X711" s="61"/>
      <c r="Y711" s="61"/>
      <c r="Z711" s="61"/>
      <c r="AA711" s="61"/>
      <c r="AB711" s="62"/>
      <c r="AC711" s="61"/>
      <c r="AD711" s="64"/>
      <c r="AE711" s="61"/>
    </row>
    <row r="712" spans="1:31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4"/>
      <c r="U712" s="64"/>
      <c r="V712" s="62"/>
      <c r="W712" s="61"/>
      <c r="X712" s="61"/>
      <c r="Y712" s="61"/>
      <c r="Z712" s="61"/>
      <c r="AA712" s="61"/>
      <c r="AB712" s="62"/>
      <c r="AC712" s="61"/>
      <c r="AD712" s="64"/>
      <c r="AE712" s="61"/>
    </row>
    <row r="713" spans="1:31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4"/>
      <c r="U713" s="64"/>
      <c r="V713" s="62"/>
      <c r="W713" s="61"/>
      <c r="X713" s="61"/>
      <c r="Y713" s="61"/>
      <c r="Z713" s="61"/>
      <c r="AA713" s="61"/>
      <c r="AB713" s="62"/>
      <c r="AC713" s="61"/>
      <c r="AD713" s="64"/>
      <c r="AE713" s="61"/>
    </row>
    <row r="714" spans="1:31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4"/>
      <c r="U714" s="64"/>
      <c r="V714" s="62"/>
      <c r="W714" s="61"/>
      <c r="X714" s="61"/>
      <c r="Y714" s="61"/>
      <c r="Z714" s="61"/>
      <c r="AA714" s="61"/>
      <c r="AB714" s="62"/>
      <c r="AC714" s="61"/>
      <c r="AD714" s="64"/>
      <c r="AE714" s="61"/>
    </row>
    <row r="715" spans="1:31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4"/>
      <c r="U715" s="64"/>
      <c r="V715" s="62"/>
      <c r="W715" s="61"/>
      <c r="X715" s="61"/>
      <c r="Y715" s="61"/>
      <c r="Z715" s="61"/>
      <c r="AA715" s="61"/>
      <c r="AB715" s="62"/>
      <c r="AC715" s="61"/>
      <c r="AD715" s="64"/>
      <c r="AE715" s="61"/>
    </row>
    <row r="716" spans="1:31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4"/>
      <c r="U716" s="64"/>
      <c r="V716" s="62"/>
      <c r="W716" s="61"/>
      <c r="X716" s="61"/>
      <c r="Y716" s="61"/>
      <c r="Z716" s="61"/>
      <c r="AA716" s="61"/>
      <c r="AB716" s="62"/>
      <c r="AC716" s="61"/>
      <c r="AD716" s="64"/>
      <c r="AE716" s="61"/>
    </row>
    <row r="717" spans="1:31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4"/>
      <c r="U717" s="64"/>
      <c r="V717" s="62"/>
      <c r="W717" s="61"/>
      <c r="X717" s="61"/>
      <c r="Y717" s="61"/>
      <c r="Z717" s="61"/>
      <c r="AA717" s="61"/>
      <c r="AB717" s="62"/>
      <c r="AC717" s="61"/>
      <c r="AD717" s="64"/>
      <c r="AE717" s="61"/>
    </row>
    <row r="718" spans="1:31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4"/>
      <c r="U718" s="64"/>
      <c r="V718" s="62"/>
      <c r="W718" s="61"/>
      <c r="X718" s="61"/>
      <c r="Y718" s="61"/>
      <c r="Z718" s="61"/>
      <c r="AA718" s="61"/>
      <c r="AB718" s="62"/>
      <c r="AC718" s="61"/>
      <c r="AD718" s="64"/>
      <c r="AE718" s="61"/>
    </row>
    <row r="719" spans="1:31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4"/>
      <c r="U719" s="64"/>
      <c r="V719" s="62"/>
      <c r="W719" s="61"/>
      <c r="X719" s="61"/>
      <c r="Y719" s="61"/>
      <c r="Z719" s="61"/>
      <c r="AA719" s="61"/>
      <c r="AB719" s="62"/>
      <c r="AC719" s="61"/>
      <c r="AD719" s="64"/>
      <c r="AE719" s="61"/>
    </row>
    <row r="720" spans="1:31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4"/>
      <c r="U720" s="64"/>
      <c r="V720" s="62"/>
      <c r="W720" s="61"/>
      <c r="X720" s="61"/>
      <c r="Y720" s="61"/>
      <c r="Z720" s="61"/>
      <c r="AA720" s="61"/>
      <c r="AB720" s="62"/>
      <c r="AC720" s="61"/>
      <c r="AD720" s="64"/>
      <c r="AE720" s="61"/>
    </row>
    <row r="721" spans="1:3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4"/>
      <c r="U721" s="64"/>
      <c r="V721" s="62"/>
      <c r="W721" s="61"/>
      <c r="X721" s="61"/>
      <c r="Y721" s="61"/>
      <c r="Z721" s="61"/>
      <c r="AA721" s="61"/>
      <c r="AB721" s="62"/>
      <c r="AC721" s="61"/>
      <c r="AD721" s="64"/>
      <c r="AE721" s="61"/>
    </row>
    <row r="722" spans="1:31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4"/>
      <c r="U722" s="64"/>
      <c r="V722" s="62"/>
      <c r="W722" s="61"/>
      <c r="X722" s="61"/>
      <c r="Y722" s="61"/>
      <c r="Z722" s="61"/>
      <c r="AA722" s="61"/>
      <c r="AB722" s="62"/>
      <c r="AC722" s="61"/>
      <c r="AD722" s="64"/>
      <c r="AE722" s="61"/>
    </row>
    <row r="723" spans="1:31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4"/>
      <c r="U723" s="64"/>
      <c r="V723" s="62"/>
      <c r="W723" s="61"/>
      <c r="X723" s="61"/>
      <c r="Y723" s="61"/>
      <c r="Z723" s="61"/>
      <c r="AA723" s="61"/>
      <c r="AB723" s="62"/>
      <c r="AC723" s="61"/>
      <c r="AD723" s="64"/>
      <c r="AE723" s="61"/>
    </row>
    <row r="724" spans="1:31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4"/>
      <c r="U724" s="64"/>
      <c r="V724" s="62"/>
      <c r="W724" s="61"/>
      <c r="X724" s="61"/>
      <c r="Y724" s="61"/>
      <c r="Z724" s="61"/>
      <c r="AA724" s="61"/>
      <c r="AB724" s="62"/>
      <c r="AC724" s="61"/>
      <c r="AD724" s="64"/>
      <c r="AE724" s="61"/>
    </row>
    <row r="725" spans="1:31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4"/>
      <c r="U725" s="64"/>
      <c r="V725" s="62"/>
      <c r="W725" s="61"/>
      <c r="X725" s="61"/>
      <c r="Y725" s="61"/>
      <c r="Z725" s="61"/>
      <c r="AA725" s="61"/>
      <c r="AB725" s="62"/>
      <c r="AC725" s="61"/>
      <c r="AD725" s="64"/>
      <c r="AE725" s="61"/>
    </row>
    <row r="726" spans="1:31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4"/>
      <c r="U726" s="64"/>
      <c r="V726" s="62"/>
      <c r="W726" s="61"/>
      <c r="X726" s="61"/>
      <c r="Y726" s="61"/>
      <c r="Z726" s="61"/>
      <c r="AA726" s="61"/>
      <c r="AB726" s="62"/>
      <c r="AC726" s="61"/>
      <c r="AD726" s="64"/>
      <c r="AE726" s="61"/>
    </row>
    <row r="727" spans="1:31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4"/>
      <c r="U727" s="64"/>
      <c r="V727" s="62"/>
      <c r="W727" s="61"/>
      <c r="X727" s="61"/>
      <c r="Y727" s="61"/>
      <c r="Z727" s="61"/>
      <c r="AA727" s="61"/>
      <c r="AB727" s="62"/>
      <c r="AC727" s="61"/>
      <c r="AD727" s="64"/>
      <c r="AE727" s="61"/>
    </row>
    <row r="728" spans="1:31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4"/>
      <c r="U728" s="64"/>
      <c r="V728" s="62"/>
      <c r="W728" s="61"/>
      <c r="X728" s="61"/>
      <c r="Y728" s="61"/>
      <c r="Z728" s="61"/>
      <c r="AA728" s="61"/>
      <c r="AB728" s="62"/>
      <c r="AC728" s="61"/>
      <c r="AD728" s="64"/>
      <c r="AE728" s="61"/>
    </row>
    <row r="729" spans="1:31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4"/>
      <c r="U729" s="64"/>
      <c r="V729" s="62"/>
      <c r="W729" s="61"/>
      <c r="X729" s="61"/>
      <c r="Y729" s="61"/>
      <c r="Z729" s="61"/>
      <c r="AA729" s="61"/>
      <c r="AB729" s="62"/>
      <c r="AC729" s="61"/>
      <c r="AD729" s="64"/>
      <c r="AE729" s="61"/>
    </row>
    <row r="730" spans="1:31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4"/>
      <c r="U730" s="64"/>
      <c r="V730" s="62"/>
      <c r="W730" s="61"/>
      <c r="X730" s="61"/>
      <c r="Y730" s="61"/>
      <c r="Z730" s="61"/>
      <c r="AA730" s="61"/>
      <c r="AB730" s="62"/>
      <c r="AC730" s="61"/>
      <c r="AD730" s="64"/>
      <c r="AE730" s="61"/>
    </row>
    <row r="731" spans="1: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4"/>
      <c r="U731" s="64"/>
      <c r="V731" s="62"/>
      <c r="W731" s="61"/>
      <c r="X731" s="61"/>
      <c r="Y731" s="61"/>
      <c r="Z731" s="61"/>
      <c r="AA731" s="61"/>
      <c r="AB731" s="62"/>
      <c r="AC731" s="61"/>
      <c r="AD731" s="64"/>
      <c r="AE731" s="61"/>
    </row>
    <row r="732" spans="1:31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4"/>
      <c r="U732" s="64"/>
      <c r="V732" s="62"/>
      <c r="W732" s="61"/>
      <c r="X732" s="61"/>
      <c r="Y732" s="61"/>
      <c r="Z732" s="61"/>
      <c r="AA732" s="61"/>
      <c r="AB732" s="62"/>
      <c r="AC732" s="61"/>
      <c r="AD732" s="64"/>
      <c r="AE732" s="61"/>
    </row>
    <row r="733" spans="1:31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4"/>
      <c r="U733" s="64"/>
      <c r="V733" s="62"/>
      <c r="W733" s="61"/>
      <c r="X733" s="61"/>
      <c r="Y733" s="61"/>
      <c r="Z733" s="61"/>
      <c r="AA733" s="61"/>
      <c r="AB733" s="62"/>
      <c r="AC733" s="61"/>
      <c r="AD733" s="64"/>
      <c r="AE733" s="61"/>
    </row>
    <row r="734" spans="1:31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4"/>
      <c r="U734" s="64"/>
      <c r="V734" s="62"/>
      <c r="W734" s="61"/>
      <c r="X734" s="61"/>
      <c r="Y734" s="61"/>
      <c r="Z734" s="61"/>
      <c r="AA734" s="61"/>
      <c r="AB734" s="62"/>
      <c r="AC734" s="61"/>
      <c r="AD734" s="64"/>
      <c r="AE734" s="61"/>
    </row>
    <row r="735" spans="1:31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4"/>
      <c r="U735" s="64"/>
      <c r="V735" s="62"/>
      <c r="W735" s="61"/>
      <c r="X735" s="61"/>
      <c r="Y735" s="61"/>
      <c r="Z735" s="61"/>
      <c r="AA735" s="61"/>
      <c r="AB735" s="62"/>
      <c r="AC735" s="61"/>
      <c r="AD735" s="64"/>
      <c r="AE735" s="61"/>
    </row>
    <row r="736" spans="1:31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4"/>
      <c r="U736" s="64"/>
      <c r="V736" s="62"/>
      <c r="W736" s="61"/>
      <c r="X736" s="61"/>
      <c r="Y736" s="61"/>
      <c r="Z736" s="61"/>
      <c r="AA736" s="61"/>
      <c r="AB736" s="62"/>
      <c r="AC736" s="61"/>
      <c r="AD736" s="64"/>
      <c r="AE736" s="61"/>
    </row>
    <row r="737" spans="1:31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4"/>
      <c r="U737" s="64"/>
      <c r="V737" s="62"/>
      <c r="W737" s="61"/>
      <c r="X737" s="61"/>
      <c r="Y737" s="61"/>
      <c r="Z737" s="61"/>
      <c r="AA737" s="61"/>
      <c r="AB737" s="62"/>
      <c r="AC737" s="61"/>
      <c r="AD737" s="64"/>
      <c r="AE737" s="61"/>
    </row>
    <row r="738" spans="1:31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4"/>
      <c r="U738" s="64"/>
      <c r="V738" s="62"/>
      <c r="W738" s="61"/>
      <c r="X738" s="61"/>
      <c r="Y738" s="61"/>
      <c r="Z738" s="61"/>
      <c r="AA738" s="61"/>
      <c r="AB738" s="62"/>
      <c r="AC738" s="61"/>
      <c r="AD738" s="64"/>
      <c r="AE738" s="61"/>
    </row>
    <row r="739" spans="1:31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4"/>
      <c r="U739" s="64"/>
      <c r="V739" s="62"/>
      <c r="W739" s="61"/>
      <c r="X739" s="61"/>
      <c r="Y739" s="61"/>
      <c r="Z739" s="61"/>
      <c r="AA739" s="61"/>
      <c r="AB739" s="62"/>
      <c r="AC739" s="61"/>
      <c r="AD739" s="64"/>
      <c r="AE739" s="61"/>
    </row>
    <row r="740" spans="1:31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4"/>
      <c r="U740" s="64"/>
      <c r="V740" s="62"/>
      <c r="W740" s="61"/>
      <c r="X740" s="61"/>
      <c r="Y740" s="61"/>
      <c r="Z740" s="61"/>
      <c r="AA740" s="61"/>
      <c r="AB740" s="62"/>
      <c r="AC740" s="61"/>
      <c r="AD740" s="64"/>
      <c r="AE740" s="61"/>
    </row>
    <row r="741" spans="1:3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4"/>
      <c r="U741" s="64"/>
      <c r="V741" s="62"/>
      <c r="W741" s="61"/>
      <c r="X741" s="61"/>
      <c r="Y741" s="61"/>
      <c r="Z741" s="61"/>
      <c r="AA741" s="61"/>
      <c r="AB741" s="62"/>
      <c r="AC741" s="61"/>
      <c r="AD741" s="64"/>
      <c r="AE741" s="61"/>
    </row>
    <row r="742" spans="1:31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4"/>
      <c r="U742" s="64"/>
      <c r="V742" s="62"/>
      <c r="W742" s="61"/>
      <c r="X742" s="61"/>
      <c r="Y742" s="61"/>
      <c r="Z742" s="61"/>
      <c r="AA742" s="61"/>
      <c r="AB742" s="62"/>
      <c r="AC742" s="61"/>
      <c r="AD742" s="64"/>
      <c r="AE742" s="61"/>
    </row>
    <row r="743" spans="1:31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4"/>
      <c r="U743" s="64"/>
      <c r="V743" s="62"/>
      <c r="W743" s="61"/>
      <c r="X743" s="61"/>
      <c r="Y743" s="61"/>
      <c r="Z743" s="61"/>
      <c r="AA743" s="61"/>
      <c r="AB743" s="62"/>
      <c r="AC743" s="61"/>
      <c r="AD743" s="64"/>
      <c r="AE743" s="61"/>
    </row>
    <row r="744" spans="1:31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4"/>
      <c r="U744" s="64"/>
      <c r="V744" s="62"/>
      <c r="W744" s="61"/>
      <c r="X744" s="61"/>
      <c r="Y744" s="61"/>
      <c r="Z744" s="61"/>
      <c r="AA744" s="61"/>
      <c r="AB744" s="62"/>
      <c r="AC744" s="61"/>
      <c r="AD744" s="64"/>
      <c r="AE744" s="61"/>
    </row>
    <row r="745" spans="1:31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4"/>
      <c r="U745" s="64"/>
      <c r="V745" s="62"/>
      <c r="W745" s="61"/>
      <c r="X745" s="61"/>
      <c r="Y745" s="61"/>
      <c r="Z745" s="61"/>
      <c r="AA745" s="61"/>
      <c r="AB745" s="62"/>
      <c r="AC745" s="61"/>
      <c r="AD745" s="64"/>
      <c r="AE745" s="61"/>
    </row>
    <row r="746" spans="1:31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4"/>
      <c r="U746" s="64"/>
      <c r="V746" s="62"/>
      <c r="W746" s="61"/>
      <c r="X746" s="61"/>
      <c r="Y746" s="61"/>
      <c r="Z746" s="61"/>
      <c r="AA746" s="61"/>
      <c r="AB746" s="62"/>
      <c r="AC746" s="61"/>
      <c r="AD746" s="64"/>
      <c r="AE746" s="61"/>
    </row>
    <row r="747" spans="1:31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4"/>
      <c r="U747" s="64"/>
      <c r="V747" s="62"/>
      <c r="W747" s="61"/>
      <c r="X747" s="61"/>
      <c r="Y747" s="61"/>
      <c r="Z747" s="61"/>
      <c r="AA747" s="61"/>
      <c r="AB747" s="62"/>
      <c r="AC747" s="61"/>
      <c r="AD747" s="64"/>
      <c r="AE747" s="61"/>
    </row>
    <row r="748" spans="1:31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4"/>
      <c r="U748" s="64"/>
      <c r="V748" s="62"/>
      <c r="W748" s="61"/>
      <c r="X748" s="61"/>
      <c r="Y748" s="61"/>
      <c r="Z748" s="61"/>
      <c r="AA748" s="61"/>
      <c r="AB748" s="62"/>
      <c r="AC748" s="61"/>
      <c r="AD748" s="64"/>
      <c r="AE748" s="61"/>
    </row>
    <row r="749" spans="1:31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4"/>
      <c r="U749" s="64"/>
      <c r="V749" s="62"/>
      <c r="W749" s="61"/>
      <c r="X749" s="61"/>
      <c r="Y749" s="61"/>
      <c r="Z749" s="61"/>
      <c r="AA749" s="61"/>
      <c r="AB749" s="62"/>
      <c r="AC749" s="61"/>
      <c r="AD749" s="64"/>
      <c r="AE749" s="61"/>
    </row>
    <row r="750" spans="1:31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4"/>
      <c r="U750" s="64"/>
      <c r="V750" s="62"/>
      <c r="W750" s="61"/>
      <c r="X750" s="61"/>
      <c r="Y750" s="61"/>
      <c r="Z750" s="61"/>
      <c r="AA750" s="61"/>
      <c r="AB750" s="62"/>
      <c r="AC750" s="61"/>
      <c r="AD750" s="64"/>
      <c r="AE750" s="61"/>
    </row>
    <row r="751" spans="1:3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4"/>
      <c r="U751" s="64"/>
      <c r="V751" s="62"/>
      <c r="W751" s="61"/>
      <c r="X751" s="61"/>
      <c r="Y751" s="61"/>
      <c r="Z751" s="61"/>
      <c r="AA751" s="61"/>
      <c r="AB751" s="62"/>
      <c r="AC751" s="61"/>
      <c r="AD751" s="64"/>
      <c r="AE751" s="61"/>
    </row>
    <row r="752" spans="1:31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4"/>
      <c r="U752" s="64"/>
      <c r="V752" s="62"/>
      <c r="W752" s="61"/>
      <c r="X752" s="61"/>
      <c r="Y752" s="61"/>
      <c r="Z752" s="61"/>
      <c r="AA752" s="61"/>
      <c r="AB752" s="62"/>
      <c r="AC752" s="61"/>
      <c r="AD752" s="64"/>
      <c r="AE752" s="61"/>
    </row>
    <row r="753" spans="1:31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4"/>
      <c r="U753" s="64"/>
      <c r="V753" s="62"/>
      <c r="W753" s="61"/>
      <c r="X753" s="61"/>
      <c r="Y753" s="61"/>
      <c r="Z753" s="61"/>
      <c r="AA753" s="61"/>
      <c r="AB753" s="62"/>
      <c r="AC753" s="61"/>
      <c r="AD753" s="64"/>
      <c r="AE753" s="61"/>
    </row>
    <row r="754" spans="1:31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4"/>
      <c r="U754" s="64"/>
      <c r="V754" s="62"/>
      <c r="W754" s="61"/>
      <c r="X754" s="61"/>
      <c r="Y754" s="61"/>
      <c r="Z754" s="61"/>
      <c r="AA754" s="61"/>
      <c r="AB754" s="62"/>
      <c r="AC754" s="61"/>
      <c r="AD754" s="64"/>
      <c r="AE754" s="61"/>
    </row>
    <row r="755" spans="1:31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4"/>
      <c r="U755" s="64"/>
      <c r="V755" s="62"/>
      <c r="W755" s="61"/>
      <c r="X755" s="61"/>
      <c r="Y755" s="61"/>
      <c r="Z755" s="61"/>
      <c r="AA755" s="61"/>
      <c r="AB755" s="62"/>
      <c r="AC755" s="61"/>
      <c r="AD755" s="64"/>
      <c r="AE755" s="61"/>
    </row>
    <row r="756" spans="1:31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4"/>
      <c r="U756" s="64"/>
      <c r="V756" s="62"/>
      <c r="W756" s="61"/>
      <c r="X756" s="61"/>
      <c r="Y756" s="61"/>
      <c r="Z756" s="61"/>
      <c r="AA756" s="61"/>
      <c r="AB756" s="62"/>
      <c r="AC756" s="61"/>
      <c r="AD756" s="64"/>
      <c r="AE756" s="61"/>
    </row>
    <row r="757" spans="1:31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4"/>
      <c r="U757" s="64"/>
      <c r="V757" s="62"/>
      <c r="W757" s="61"/>
      <c r="X757" s="61"/>
      <c r="Y757" s="61"/>
      <c r="Z757" s="61"/>
      <c r="AA757" s="61"/>
      <c r="AB757" s="62"/>
      <c r="AC757" s="61"/>
      <c r="AD757" s="64"/>
      <c r="AE757" s="61"/>
    </row>
    <row r="758" spans="1:31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4"/>
      <c r="U758" s="64"/>
      <c r="V758" s="62"/>
      <c r="W758" s="61"/>
      <c r="X758" s="61"/>
      <c r="Y758" s="61"/>
      <c r="Z758" s="61"/>
      <c r="AA758" s="61"/>
      <c r="AB758" s="62"/>
      <c r="AC758" s="61"/>
      <c r="AD758" s="64"/>
      <c r="AE758" s="61"/>
    </row>
    <row r="759" spans="1:31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4"/>
      <c r="U759" s="64"/>
      <c r="V759" s="62"/>
      <c r="W759" s="61"/>
      <c r="X759" s="61"/>
      <c r="Y759" s="61"/>
      <c r="Z759" s="61"/>
      <c r="AA759" s="61"/>
      <c r="AB759" s="62"/>
      <c r="AC759" s="61"/>
      <c r="AD759" s="64"/>
      <c r="AE759" s="61"/>
    </row>
    <row r="760" spans="1:31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4"/>
      <c r="U760" s="64"/>
      <c r="V760" s="62"/>
      <c r="W760" s="61"/>
      <c r="X760" s="61"/>
      <c r="Y760" s="61"/>
      <c r="Z760" s="61"/>
      <c r="AA760" s="61"/>
      <c r="AB760" s="62"/>
      <c r="AC760" s="61"/>
      <c r="AD760" s="64"/>
      <c r="AE760" s="61"/>
    </row>
    <row r="761" spans="1:3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4"/>
      <c r="U761" s="64"/>
      <c r="V761" s="62"/>
      <c r="W761" s="61"/>
      <c r="X761" s="61"/>
      <c r="Y761" s="61"/>
      <c r="Z761" s="61"/>
      <c r="AA761" s="61"/>
      <c r="AB761" s="62"/>
      <c r="AC761" s="61"/>
      <c r="AD761" s="64"/>
      <c r="AE761" s="61"/>
    </row>
    <row r="762" spans="1:31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4"/>
      <c r="U762" s="64"/>
      <c r="V762" s="62"/>
      <c r="W762" s="61"/>
      <c r="X762" s="61"/>
      <c r="Y762" s="61"/>
      <c r="Z762" s="61"/>
      <c r="AA762" s="61"/>
      <c r="AB762" s="62"/>
      <c r="AC762" s="61"/>
      <c r="AD762" s="64"/>
      <c r="AE762" s="61"/>
    </row>
    <row r="763" spans="1:31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4"/>
      <c r="U763" s="64"/>
      <c r="V763" s="62"/>
      <c r="W763" s="61"/>
      <c r="X763" s="61"/>
      <c r="Y763" s="61"/>
      <c r="Z763" s="61"/>
      <c r="AA763" s="61"/>
      <c r="AB763" s="62"/>
      <c r="AC763" s="61"/>
      <c r="AD763" s="64"/>
      <c r="AE763" s="61"/>
    </row>
    <row r="764" spans="1:31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4"/>
      <c r="U764" s="64"/>
      <c r="V764" s="62"/>
      <c r="W764" s="61"/>
      <c r="X764" s="61"/>
      <c r="Y764" s="61"/>
      <c r="Z764" s="61"/>
      <c r="AA764" s="61"/>
      <c r="AB764" s="62"/>
      <c r="AC764" s="61"/>
      <c r="AD764" s="64"/>
      <c r="AE764" s="61"/>
    </row>
    <row r="765" spans="1:31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4"/>
      <c r="U765" s="64"/>
      <c r="V765" s="62"/>
      <c r="W765" s="61"/>
      <c r="X765" s="61"/>
      <c r="Y765" s="61"/>
      <c r="Z765" s="61"/>
      <c r="AA765" s="61"/>
      <c r="AB765" s="62"/>
      <c r="AC765" s="61"/>
      <c r="AD765" s="64"/>
      <c r="AE765" s="61"/>
    </row>
    <row r="766" spans="1:31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4"/>
      <c r="U766" s="64"/>
      <c r="V766" s="62"/>
      <c r="W766" s="61"/>
      <c r="X766" s="61"/>
      <c r="Y766" s="61"/>
      <c r="Z766" s="61"/>
      <c r="AA766" s="61"/>
      <c r="AB766" s="62"/>
      <c r="AC766" s="61"/>
      <c r="AD766" s="64"/>
      <c r="AE766" s="61"/>
    </row>
    <row r="767" spans="1:31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4"/>
      <c r="U767" s="64"/>
      <c r="V767" s="62"/>
      <c r="W767" s="61"/>
      <c r="X767" s="61"/>
      <c r="Y767" s="61"/>
      <c r="Z767" s="61"/>
      <c r="AA767" s="61"/>
      <c r="AB767" s="62"/>
      <c r="AC767" s="61"/>
      <c r="AD767" s="64"/>
      <c r="AE767" s="61"/>
    </row>
    <row r="768" spans="1:31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4"/>
      <c r="U768" s="64"/>
      <c r="V768" s="62"/>
      <c r="W768" s="61"/>
      <c r="X768" s="61"/>
      <c r="Y768" s="61"/>
      <c r="Z768" s="61"/>
      <c r="AA768" s="61"/>
      <c r="AB768" s="62"/>
      <c r="AC768" s="61"/>
      <c r="AD768" s="64"/>
      <c r="AE768" s="61"/>
    </row>
    <row r="769" spans="1:31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4"/>
      <c r="U769" s="64"/>
      <c r="V769" s="62"/>
      <c r="W769" s="61"/>
      <c r="X769" s="61"/>
      <c r="Y769" s="61"/>
      <c r="Z769" s="61"/>
      <c r="AA769" s="61"/>
      <c r="AB769" s="62"/>
      <c r="AC769" s="61"/>
      <c r="AD769" s="64"/>
      <c r="AE769" s="61"/>
    </row>
    <row r="770" spans="1:31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4"/>
      <c r="U770" s="64"/>
      <c r="V770" s="62"/>
      <c r="W770" s="61"/>
      <c r="X770" s="61"/>
      <c r="Y770" s="61"/>
      <c r="Z770" s="61"/>
      <c r="AA770" s="61"/>
      <c r="AB770" s="62"/>
      <c r="AC770" s="61"/>
      <c r="AD770" s="64"/>
      <c r="AE770" s="61"/>
    </row>
    <row r="771" spans="1:3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4"/>
      <c r="U771" s="64"/>
      <c r="V771" s="62"/>
      <c r="W771" s="61"/>
      <c r="X771" s="61"/>
      <c r="Y771" s="61"/>
      <c r="Z771" s="61"/>
      <c r="AA771" s="61"/>
      <c r="AB771" s="62"/>
      <c r="AC771" s="61"/>
      <c r="AD771" s="64"/>
      <c r="AE771" s="61"/>
    </row>
    <row r="772" spans="1:31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4"/>
      <c r="U772" s="64"/>
      <c r="V772" s="62"/>
      <c r="W772" s="61"/>
      <c r="X772" s="61"/>
      <c r="Y772" s="61"/>
      <c r="Z772" s="61"/>
      <c r="AA772" s="61"/>
      <c r="AB772" s="62"/>
      <c r="AC772" s="61"/>
      <c r="AD772" s="64"/>
      <c r="AE772" s="61"/>
    </row>
    <row r="773" spans="1:31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4"/>
      <c r="U773" s="64"/>
      <c r="V773" s="62"/>
      <c r="W773" s="61"/>
      <c r="X773" s="61"/>
      <c r="Y773" s="61"/>
      <c r="Z773" s="61"/>
      <c r="AA773" s="61"/>
      <c r="AB773" s="62"/>
      <c r="AC773" s="61"/>
      <c r="AD773" s="64"/>
      <c r="AE773" s="61"/>
    </row>
    <row r="774" spans="1:31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4"/>
      <c r="U774" s="64"/>
      <c r="V774" s="62"/>
      <c r="W774" s="61"/>
      <c r="X774" s="61"/>
      <c r="Y774" s="61"/>
      <c r="Z774" s="61"/>
      <c r="AA774" s="61"/>
      <c r="AB774" s="62"/>
      <c r="AC774" s="61"/>
      <c r="AD774" s="64"/>
      <c r="AE774" s="61"/>
    </row>
    <row r="775" spans="1:31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4"/>
      <c r="U775" s="64"/>
      <c r="V775" s="62"/>
      <c r="W775" s="61"/>
      <c r="X775" s="61"/>
      <c r="Y775" s="61"/>
      <c r="Z775" s="61"/>
      <c r="AA775" s="61"/>
      <c r="AB775" s="62"/>
      <c r="AC775" s="61"/>
      <c r="AD775" s="64"/>
      <c r="AE775" s="61"/>
    </row>
    <row r="776" spans="1:31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4"/>
      <c r="U776" s="64"/>
      <c r="V776" s="62"/>
      <c r="W776" s="61"/>
      <c r="X776" s="61"/>
      <c r="Y776" s="61"/>
      <c r="Z776" s="61"/>
      <c r="AA776" s="61"/>
      <c r="AB776" s="62"/>
      <c r="AC776" s="61"/>
      <c r="AD776" s="64"/>
      <c r="AE776" s="61"/>
    </row>
    <row r="777" spans="1:31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4"/>
      <c r="U777" s="64"/>
      <c r="V777" s="62"/>
      <c r="W777" s="61"/>
      <c r="X777" s="61"/>
      <c r="Y777" s="61"/>
      <c r="Z777" s="61"/>
      <c r="AA777" s="61"/>
      <c r="AB777" s="62"/>
      <c r="AC777" s="61"/>
      <c r="AD777" s="64"/>
      <c r="AE777" s="61"/>
    </row>
    <row r="778" spans="1:31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4"/>
      <c r="U778" s="64"/>
      <c r="V778" s="62"/>
      <c r="W778" s="61"/>
      <c r="X778" s="61"/>
      <c r="Y778" s="61"/>
      <c r="Z778" s="61"/>
      <c r="AA778" s="61"/>
      <c r="AB778" s="62"/>
      <c r="AC778" s="61"/>
      <c r="AD778" s="64"/>
      <c r="AE778" s="61"/>
    </row>
    <row r="779" spans="1:31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4"/>
      <c r="U779" s="64"/>
      <c r="V779" s="62"/>
      <c r="W779" s="61"/>
      <c r="X779" s="61"/>
      <c r="Y779" s="61"/>
      <c r="Z779" s="61"/>
      <c r="AA779" s="61"/>
      <c r="AB779" s="62"/>
      <c r="AC779" s="61"/>
      <c r="AD779" s="64"/>
      <c r="AE779" s="61"/>
    </row>
    <row r="780" spans="1:31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4"/>
      <c r="U780" s="64"/>
      <c r="V780" s="62"/>
      <c r="W780" s="61"/>
      <c r="X780" s="61"/>
      <c r="Y780" s="61"/>
      <c r="Z780" s="61"/>
      <c r="AA780" s="61"/>
      <c r="AB780" s="62"/>
      <c r="AC780" s="61"/>
      <c r="AD780" s="64"/>
      <c r="AE780" s="61"/>
    </row>
    <row r="781" spans="1:3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4"/>
      <c r="U781" s="64"/>
      <c r="V781" s="62"/>
      <c r="W781" s="61"/>
      <c r="X781" s="61"/>
      <c r="Y781" s="61"/>
      <c r="Z781" s="61"/>
      <c r="AA781" s="61"/>
      <c r="AB781" s="62"/>
      <c r="AC781" s="61"/>
      <c r="AD781" s="64"/>
      <c r="AE781" s="61"/>
    </row>
    <row r="782" spans="1:31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4"/>
      <c r="U782" s="64"/>
      <c r="V782" s="62"/>
      <c r="W782" s="61"/>
      <c r="X782" s="61"/>
      <c r="Y782" s="61"/>
      <c r="Z782" s="61"/>
      <c r="AA782" s="61"/>
      <c r="AB782" s="62"/>
      <c r="AC782" s="61"/>
      <c r="AD782" s="64"/>
      <c r="AE782" s="61"/>
    </row>
    <row r="783" spans="1:31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4"/>
      <c r="U783" s="64"/>
      <c r="V783" s="62"/>
      <c r="W783" s="61"/>
      <c r="X783" s="61"/>
      <c r="Y783" s="61"/>
      <c r="Z783" s="61"/>
      <c r="AA783" s="61"/>
      <c r="AB783" s="62"/>
      <c r="AC783" s="61"/>
      <c r="AD783" s="64"/>
      <c r="AE783" s="61"/>
    </row>
    <row r="784" spans="1:31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4"/>
      <c r="U784" s="64"/>
      <c r="V784" s="62"/>
      <c r="W784" s="61"/>
      <c r="X784" s="61"/>
      <c r="Y784" s="61"/>
      <c r="Z784" s="61"/>
      <c r="AA784" s="61"/>
      <c r="AB784" s="62"/>
      <c r="AC784" s="61"/>
      <c r="AD784" s="64"/>
      <c r="AE784" s="61"/>
    </row>
    <row r="785" spans="1:31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4"/>
      <c r="U785" s="64"/>
      <c r="V785" s="62"/>
      <c r="W785" s="61"/>
      <c r="X785" s="61"/>
      <c r="Y785" s="61"/>
      <c r="Z785" s="61"/>
      <c r="AA785" s="61"/>
      <c r="AB785" s="62"/>
      <c r="AC785" s="61"/>
      <c r="AD785" s="64"/>
      <c r="AE785" s="61"/>
    </row>
    <row r="786" spans="1:31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4"/>
      <c r="U786" s="64"/>
      <c r="V786" s="62"/>
      <c r="W786" s="61"/>
      <c r="X786" s="61"/>
      <c r="Y786" s="61"/>
      <c r="Z786" s="61"/>
      <c r="AA786" s="61"/>
      <c r="AB786" s="62"/>
      <c r="AC786" s="61"/>
      <c r="AD786" s="64"/>
      <c r="AE786" s="61"/>
    </row>
    <row r="787" spans="1:31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4"/>
      <c r="U787" s="64"/>
      <c r="V787" s="62"/>
      <c r="W787" s="61"/>
      <c r="X787" s="61"/>
      <c r="Y787" s="61"/>
      <c r="Z787" s="61"/>
      <c r="AA787" s="61"/>
      <c r="AB787" s="62"/>
      <c r="AC787" s="61"/>
      <c r="AD787" s="64"/>
      <c r="AE787" s="61"/>
    </row>
    <row r="788" spans="1:31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4"/>
      <c r="U788" s="64"/>
      <c r="V788" s="62"/>
      <c r="W788" s="61"/>
      <c r="X788" s="61"/>
      <c r="Y788" s="61"/>
      <c r="Z788" s="61"/>
      <c r="AA788" s="61"/>
      <c r="AB788" s="62"/>
      <c r="AC788" s="61"/>
      <c r="AD788" s="64"/>
      <c r="AE788" s="61"/>
    </row>
    <row r="789" spans="1:31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4"/>
      <c r="U789" s="64"/>
      <c r="V789" s="62"/>
      <c r="W789" s="61"/>
      <c r="X789" s="61"/>
      <c r="Y789" s="61"/>
      <c r="Z789" s="61"/>
      <c r="AA789" s="61"/>
      <c r="AB789" s="62"/>
      <c r="AC789" s="61"/>
      <c r="AD789" s="64"/>
      <c r="AE789" s="61"/>
    </row>
    <row r="790" spans="1:31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4"/>
      <c r="U790" s="64"/>
      <c r="V790" s="62"/>
      <c r="W790" s="61"/>
      <c r="X790" s="61"/>
      <c r="Y790" s="61"/>
      <c r="Z790" s="61"/>
      <c r="AA790" s="61"/>
      <c r="AB790" s="62"/>
      <c r="AC790" s="61"/>
      <c r="AD790" s="64"/>
      <c r="AE790" s="61"/>
    </row>
    <row r="791" spans="1:3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4"/>
      <c r="U791" s="64"/>
      <c r="V791" s="62"/>
      <c r="W791" s="61"/>
      <c r="X791" s="61"/>
      <c r="Y791" s="61"/>
      <c r="Z791" s="61"/>
      <c r="AA791" s="61"/>
      <c r="AB791" s="62"/>
      <c r="AC791" s="61"/>
      <c r="AD791" s="64"/>
      <c r="AE791" s="61"/>
    </row>
    <row r="792" spans="1:31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4"/>
      <c r="U792" s="64"/>
      <c r="V792" s="62"/>
      <c r="W792" s="61"/>
      <c r="X792" s="61"/>
      <c r="Y792" s="61"/>
      <c r="Z792" s="61"/>
      <c r="AA792" s="61"/>
      <c r="AB792" s="62"/>
      <c r="AC792" s="61"/>
      <c r="AD792" s="64"/>
      <c r="AE792" s="61"/>
    </row>
    <row r="793" spans="1:31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4"/>
      <c r="U793" s="64"/>
      <c r="V793" s="62"/>
      <c r="W793" s="61"/>
      <c r="X793" s="61"/>
      <c r="Y793" s="61"/>
      <c r="Z793" s="61"/>
      <c r="AA793" s="61"/>
      <c r="AB793" s="62"/>
      <c r="AC793" s="61"/>
      <c r="AD793" s="64"/>
      <c r="AE793" s="61"/>
    </row>
    <row r="794" spans="1:31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4"/>
      <c r="U794" s="64"/>
      <c r="V794" s="62"/>
      <c r="W794" s="61"/>
      <c r="X794" s="61"/>
      <c r="Y794" s="61"/>
      <c r="Z794" s="61"/>
      <c r="AA794" s="61"/>
      <c r="AB794" s="62"/>
      <c r="AC794" s="61"/>
      <c r="AD794" s="64"/>
      <c r="AE794" s="61"/>
    </row>
    <row r="795" spans="1:31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4"/>
      <c r="U795" s="64"/>
      <c r="V795" s="62"/>
      <c r="W795" s="61"/>
      <c r="X795" s="61"/>
      <c r="Y795" s="61"/>
      <c r="Z795" s="61"/>
      <c r="AA795" s="61"/>
      <c r="AB795" s="62"/>
      <c r="AC795" s="61"/>
      <c r="AD795" s="64"/>
      <c r="AE795" s="61"/>
    </row>
    <row r="796" spans="1:31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4"/>
      <c r="U796" s="64"/>
      <c r="V796" s="62"/>
      <c r="W796" s="61"/>
      <c r="X796" s="61"/>
      <c r="Y796" s="61"/>
      <c r="Z796" s="61"/>
      <c r="AA796" s="61"/>
      <c r="AB796" s="62"/>
      <c r="AC796" s="61"/>
      <c r="AD796" s="64"/>
      <c r="AE796" s="61"/>
    </row>
    <row r="797" spans="1:31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4"/>
      <c r="U797" s="64"/>
      <c r="V797" s="62"/>
      <c r="W797" s="61"/>
      <c r="X797" s="61"/>
      <c r="Y797" s="61"/>
      <c r="Z797" s="61"/>
      <c r="AA797" s="61"/>
      <c r="AB797" s="62"/>
      <c r="AC797" s="61"/>
      <c r="AD797" s="64"/>
      <c r="AE797" s="61"/>
    </row>
    <row r="798" spans="1:31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4"/>
      <c r="U798" s="64"/>
      <c r="V798" s="62"/>
      <c r="W798" s="61"/>
      <c r="X798" s="61"/>
      <c r="Y798" s="61"/>
      <c r="Z798" s="61"/>
      <c r="AA798" s="61"/>
      <c r="AB798" s="62"/>
      <c r="AC798" s="61"/>
      <c r="AD798" s="64"/>
      <c r="AE798" s="61"/>
    </row>
    <row r="799" spans="1:31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4"/>
      <c r="U799" s="64"/>
      <c r="V799" s="62"/>
      <c r="W799" s="61"/>
      <c r="X799" s="61"/>
      <c r="Y799" s="61"/>
      <c r="Z799" s="61"/>
      <c r="AA799" s="61"/>
      <c r="AB799" s="62"/>
      <c r="AC799" s="61"/>
      <c r="AD799" s="64"/>
      <c r="AE799" s="61"/>
    </row>
    <row r="800" spans="1:31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4"/>
      <c r="U800" s="64"/>
      <c r="V800" s="62"/>
      <c r="W800" s="61"/>
      <c r="X800" s="61"/>
      <c r="Y800" s="61"/>
      <c r="Z800" s="61"/>
      <c r="AA800" s="61"/>
      <c r="AB800" s="62"/>
      <c r="AC800" s="61"/>
      <c r="AD800" s="64"/>
      <c r="AE800" s="61"/>
    </row>
    <row r="801" spans="1:3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4"/>
      <c r="U801" s="64"/>
      <c r="V801" s="62"/>
      <c r="W801" s="61"/>
      <c r="X801" s="61"/>
      <c r="Y801" s="61"/>
      <c r="Z801" s="61"/>
      <c r="AA801" s="61"/>
      <c r="AB801" s="62"/>
      <c r="AC801" s="61"/>
      <c r="AD801" s="64"/>
      <c r="AE801" s="61"/>
    </row>
    <row r="802" spans="1:31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4"/>
      <c r="U802" s="64"/>
      <c r="V802" s="62"/>
      <c r="W802" s="61"/>
      <c r="X802" s="61"/>
      <c r="Y802" s="61"/>
      <c r="Z802" s="61"/>
      <c r="AA802" s="61"/>
      <c r="AB802" s="62"/>
      <c r="AC802" s="61"/>
      <c r="AD802" s="64"/>
      <c r="AE802" s="61"/>
    </row>
    <row r="803" spans="1:31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4"/>
      <c r="U803" s="64"/>
      <c r="V803" s="62"/>
      <c r="W803" s="61"/>
      <c r="X803" s="61"/>
      <c r="Y803" s="61"/>
      <c r="Z803" s="61"/>
      <c r="AA803" s="61"/>
      <c r="AB803" s="62"/>
      <c r="AC803" s="61"/>
      <c r="AD803" s="64"/>
      <c r="AE803" s="61"/>
    </row>
    <row r="804" spans="1:31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4"/>
      <c r="U804" s="64"/>
      <c r="V804" s="62"/>
      <c r="W804" s="61"/>
      <c r="X804" s="61"/>
      <c r="Y804" s="61"/>
      <c r="Z804" s="61"/>
      <c r="AA804" s="61"/>
      <c r="AB804" s="62"/>
      <c r="AC804" s="61"/>
      <c r="AD804" s="64"/>
      <c r="AE804" s="61"/>
    </row>
    <row r="805" spans="1:31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4"/>
      <c r="U805" s="64"/>
      <c r="V805" s="62"/>
      <c r="W805" s="61"/>
      <c r="X805" s="61"/>
      <c r="Y805" s="61"/>
      <c r="Z805" s="61"/>
      <c r="AA805" s="61"/>
      <c r="AB805" s="62"/>
      <c r="AC805" s="61"/>
      <c r="AD805" s="64"/>
      <c r="AE805" s="61"/>
    </row>
    <row r="806" spans="1:31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4"/>
      <c r="U806" s="64"/>
      <c r="V806" s="62"/>
      <c r="W806" s="61"/>
      <c r="X806" s="61"/>
      <c r="Y806" s="61"/>
      <c r="Z806" s="61"/>
      <c r="AA806" s="61"/>
      <c r="AB806" s="62"/>
      <c r="AC806" s="61"/>
      <c r="AD806" s="64"/>
      <c r="AE806" s="61"/>
    </row>
    <row r="807" spans="1:31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4"/>
      <c r="U807" s="64"/>
      <c r="V807" s="62"/>
      <c r="W807" s="61"/>
      <c r="X807" s="61"/>
      <c r="Y807" s="61"/>
      <c r="Z807" s="61"/>
      <c r="AA807" s="61"/>
      <c r="AB807" s="62"/>
      <c r="AC807" s="61"/>
      <c r="AD807" s="64"/>
      <c r="AE807" s="61"/>
    </row>
    <row r="808" spans="1:31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4"/>
      <c r="U808" s="64"/>
      <c r="V808" s="62"/>
      <c r="W808" s="61"/>
      <c r="X808" s="61"/>
      <c r="Y808" s="61"/>
      <c r="Z808" s="61"/>
      <c r="AA808" s="61"/>
      <c r="AB808" s="62"/>
      <c r="AC808" s="61"/>
      <c r="AD808" s="64"/>
      <c r="AE808" s="61"/>
    </row>
    <row r="809" spans="1:31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4"/>
      <c r="U809" s="64"/>
      <c r="V809" s="62"/>
      <c r="W809" s="61"/>
      <c r="X809" s="61"/>
      <c r="Y809" s="61"/>
      <c r="Z809" s="61"/>
      <c r="AA809" s="61"/>
      <c r="AB809" s="62"/>
      <c r="AC809" s="61"/>
      <c r="AD809" s="64"/>
      <c r="AE809" s="61"/>
    </row>
    <row r="810" spans="1:31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4"/>
      <c r="U810" s="64"/>
      <c r="V810" s="62"/>
      <c r="W810" s="61"/>
      <c r="X810" s="61"/>
      <c r="Y810" s="61"/>
      <c r="Z810" s="61"/>
      <c r="AA810" s="61"/>
      <c r="AB810" s="62"/>
      <c r="AC810" s="61"/>
      <c r="AD810" s="64"/>
      <c r="AE810" s="61"/>
    </row>
    <row r="811" spans="1:3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4"/>
      <c r="U811" s="64"/>
      <c r="V811" s="62"/>
      <c r="W811" s="61"/>
      <c r="X811" s="61"/>
      <c r="Y811" s="61"/>
      <c r="Z811" s="61"/>
      <c r="AA811" s="61"/>
      <c r="AB811" s="62"/>
      <c r="AC811" s="61"/>
      <c r="AD811" s="64"/>
      <c r="AE811" s="61"/>
    </row>
    <row r="812" spans="1:31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4"/>
      <c r="U812" s="64"/>
      <c r="V812" s="62"/>
      <c r="W812" s="61"/>
      <c r="X812" s="61"/>
      <c r="Y812" s="61"/>
      <c r="Z812" s="61"/>
      <c r="AA812" s="61"/>
      <c r="AB812" s="62"/>
      <c r="AC812" s="61"/>
      <c r="AD812" s="64"/>
      <c r="AE812" s="61"/>
    </row>
    <row r="813" spans="1:31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4"/>
      <c r="U813" s="64"/>
      <c r="V813" s="62"/>
      <c r="W813" s="61"/>
      <c r="X813" s="61"/>
      <c r="Y813" s="61"/>
      <c r="Z813" s="61"/>
      <c r="AA813" s="61"/>
      <c r="AB813" s="62"/>
      <c r="AC813" s="61"/>
      <c r="AD813" s="64"/>
      <c r="AE813" s="61"/>
    </row>
    <row r="814" spans="1:31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4"/>
      <c r="U814" s="64"/>
      <c r="V814" s="62"/>
      <c r="W814" s="61"/>
      <c r="X814" s="61"/>
      <c r="Y814" s="61"/>
      <c r="Z814" s="61"/>
      <c r="AA814" s="61"/>
      <c r="AB814" s="62"/>
      <c r="AC814" s="61"/>
      <c r="AD814" s="64"/>
      <c r="AE814" s="61"/>
    </row>
    <row r="815" spans="1:31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4"/>
      <c r="U815" s="64"/>
      <c r="V815" s="62"/>
      <c r="W815" s="61"/>
      <c r="X815" s="61"/>
      <c r="Y815" s="61"/>
      <c r="Z815" s="61"/>
      <c r="AA815" s="61"/>
      <c r="AB815" s="62"/>
      <c r="AC815" s="61"/>
      <c r="AD815" s="64"/>
      <c r="AE815" s="61"/>
    </row>
    <row r="816" spans="1:31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4"/>
      <c r="U816" s="64"/>
      <c r="V816" s="62"/>
      <c r="W816" s="61"/>
      <c r="X816" s="61"/>
      <c r="Y816" s="61"/>
      <c r="Z816" s="61"/>
      <c r="AA816" s="61"/>
      <c r="AB816" s="62"/>
      <c r="AC816" s="61"/>
      <c r="AD816" s="64"/>
      <c r="AE816" s="61"/>
    </row>
    <row r="817" spans="1:31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4"/>
      <c r="U817" s="64"/>
      <c r="V817" s="62"/>
      <c r="W817" s="61"/>
      <c r="X817" s="61"/>
      <c r="Y817" s="61"/>
      <c r="Z817" s="61"/>
      <c r="AA817" s="61"/>
      <c r="AB817" s="62"/>
      <c r="AC817" s="61"/>
      <c r="AD817" s="64"/>
      <c r="AE817" s="61"/>
    </row>
    <row r="818" spans="1:31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4"/>
      <c r="U818" s="64"/>
      <c r="V818" s="62"/>
      <c r="W818" s="61"/>
      <c r="X818" s="61"/>
      <c r="Y818" s="61"/>
      <c r="Z818" s="61"/>
      <c r="AA818" s="61"/>
      <c r="AB818" s="62"/>
      <c r="AC818" s="61"/>
      <c r="AD818" s="64"/>
      <c r="AE818" s="61"/>
    </row>
    <row r="819" spans="1:31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4"/>
      <c r="U819" s="64"/>
      <c r="V819" s="62"/>
      <c r="W819" s="61"/>
      <c r="X819" s="61"/>
      <c r="Y819" s="61"/>
      <c r="Z819" s="61"/>
      <c r="AA819" s="61"/>
      <c r="AB819" s="62"/>
      <c r="AC819" s="61"/>
      <c r="AD819" s="64"/>
      <c r="AE819" s="61"/>
    </row>
    <row r="820" spans="1:31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4"/>
      <c r="U820" s="64"/>
      <c r="V820" s="62"/>
      <c r="W820" s="61"/>
      <c r="X820" s="61"/>
      <c r="Y820" s="61"/>
      <c r="Z820" s="61"/>
      <c r="AA820" s="61"/>
      <c r="AB820" s="62"/>
      <c r="AC820" s="61"/>
      <c r="AD820" s="64"/>
      <c r="AE820" s="61"/>
    </row>
    <row r="821" spans="1:3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4"/>
      <c r="U821" s="64"/>
      <c r="V821" s="62"/>
      <c r="W821" s="61"/>
      <c r="X821" s="61"/>
      <c r="Y821" s="61"/>
      <c r="Z821" s="61"/>
      <c r="AA821" s="61"/>
      <c r="AB821" s="62"/>
      <c r="AC821" s="61"/>
      <c r="AD821" s="64"/>
      <c r="AE821" s="61"/>
    </row>
    <row r="822" spans="1:31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4"/>
      <c r="U822" s="64"/>
      <c r="V822" s="62"/>
      <c r="W822" s="61"/>
      <c r="X822" s="61"/>
      <c r="Y822" s="61"/>
      <c r="Z822" s="61"/>
      <c r="AA822" s="61"/>
      <c r="AB822" s="62"/>
      <c r="AC822" s="61"/>
      <c r="AD822" s="64"/>
      <c r="AE822" s="61"/>
    </row>
    <row r="823" spans="1:31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4"/>
      <c r="U823" s="64"/>
      <c r="V823" s="62"/>
      <c r="W823" s="61"/>
      <c r="X823" s="61"/>
      <c r="Y823" s="61"/>
      <c r="Z823" s="61"/>
      <c r="AA823" s="61"/>
      <c r="AB823" s="62"/>
      <c r="AC823" s="61"/>
      <c r="AD823" s="64"/>
      <c r="AE823" s="61"/>
    </row>
    <row r="824" spans="1:31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4"/>
      <c r="U824" s="64"/>
      <c r="V824" s="62"/>
      <c r="W824" s="61"/>
      <c r="X824" s="61"/>
      <c r="Y824" s="61"/>
      <c r="Z824" s="61"/>
      <c r="AA824" s="61"/>
      <c r="AB824" s="62"/>
      <c r="AC824" s="61"/>
      <c r="AD824" s="64"/>
      <c r="AE824" s="61"/>
    </row>
    <row r="825" spans="1:31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4"/>
      <c r="U825" s="64"/>
      <c r="V825" s="62"/>
      <c r="W825" s="61"/>
      <c r="X825" s="61"/>
      <c r="Y825" s="61"/>
      <c r="Z825" s="61"/>
      <c r="AA825" s="61"/>
      <c r="AB825" s="62"/>
      <c r="AC825" s="61"/>
      <c r="AD825" s="64"/>
      <c r="AE825" s="61"/>
    </row>
    <row r="826" spans="1:31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4"/>
      <c r="U826" s="64"/>
      <c r="V826" s="62"/>
      <c r="W826" s="61"/>
      <c r="X826" s="61"/>
      <c r="Y826" s="61"/>
      <c r="Z826" s="61"/>
      <c r="AA826" s="61"/>
      <c r="AB826" s="62"/>
      <c r="AC826" s="61"/>
      <c r="AD826" s="64"/>
      <c r="AE826" s="61"/>
    </row>
    <row r="827" spans="1:31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4"/>
      <c r="U827" s="64"/>
      <c r="V827" s="62"/>
      <c r="W827" s="61"/>
      <c r="X827" s="61"/>
      <c r="Y827" s="61"/>
      <c r="Z827" s="61"/>
      <c r="AA827" s="61"/>
      <c r="AB827" s="62"/>
      <c r="AC827" s="61"/>
      <c r="AD827" s="64"/>
      <c r="AE827" s="61"/>
    </row>
    <row r="828" spans="1:31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4"/>
      <c r="U828" s="64"/>
      <c r="V828" s="62"/>
      <c r="W828" s="61"/>
      <c r="X828" s="61"/>
      <c r="Y828" s="61"/>
      <c r="Z828" s="61"/>
      <c r="AA828" s="61"/>
      <c r="AB828" s="62"/>
      <c r="AC828" s="61"/>
      <c r="AD828" s="64"/>
      <c r="AE828" s="61"/>
    </row>
    <row r="829" spans="1:31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4"/>
      <c r="U829" s="64"/>
      <c r="V829" s="62"/>
      <c r="W829" s="61"/>
      <c r="X829" s="61"/>
      <c r="Y829" s="61"/>
      <c r="Z829" s="61"/>
      <c r="AA829" s="61"/>
      <c r="AB829" s="62"/>
      <c r="AC829" s="61"/>
      <c r="AD829" s="64"/>
      <c r="AE829" s="61"/>
    </row>
    <row r="830" spans="1:31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4"/>
      <c r="U830" s="64"/>
      <c r="V830" s="62"/>
      <c r="W830" s="61"/>
      <c r="X830" s="61"/>
      <c r="Y830" s="61"/>
      <c r="Z830" s="61"/>
      <c r="AA830" s="61"/>
      <c r="AB830" s="62"/>
      <c r="AC830" s="61"/>
      <c r="AD830" s="64"/>
      <c r="AE830" s="61"/>
    </row>
    <row r="831" spans="1: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4"/>
      <c r="U831" s="64"/>
      <c r="V831" s="62"/>
      <c r="W831" s="61"/>
      <c r="X831" s="61"/>
      <c r="Y831" s="61"/>
      <c r="Z831" s="61"/>
      <c r="AA831" s="61"/>
      <c r="AB831" s="62"/>
      <c r="AC831" s="61"/>
      <c r="AD831" s="64"/>
      <c r="AE831" s="61"/>
    </row>
    <row r="832" spans="1:31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4"/>
      <c r="U832" s="64"/>
      <c r="V832" s="62"/>
      <c r="W832" s="61"/>
      <c r="X832" s="61"/>
      <c r="Y832" s="61"/>
      <c r="Z832" s="61"/>
      <c r="AA832" s="61"/>
      <c r="AB832" s="62"/>
      <c r="AC832" s="61"/>
      <c r="AD832" s="64"/>
      <c r="AE832" s="61"/>
    </row>
    <row r="833" spans="1:31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4"/>
      <c r="U833" s="64"/>
      <c r="V833" s="62"/>
      <c r="W833" s="61"/>
      <c r="X833" s="61"/>
      <c r="Y833" s="61"/>
      <c r="Z833" s="61"/>
      <c r="AA833" s="61"/>
      <c r="AB833" s="62"/>
      <c r="AC833" s="61"/>
      <c r="AD833" s="64"/>
      <c r="AE833" s="61"/>
    </row>
    <row r="834" spans="1:31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4"/>
      <c r="U834" s="64"/>
      <c r="V834" s="62"/>
      <c r="W834" s="61"/>
      <c r="X834" s="61"/>
      <c r="Y834" s="61"/>
      <c r="Z834" s="61"/>
      <c r="AA834" s="61"/>
      <c r="AB834" s="62"/>
      <c r="AC834" s="61"/>
      <c r="AD834" s="64"/>
      <c r="AE834" s="61"/>
    </row>
    <row r="835" spans="1:31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4"/>
      <c r="U835" s="64"/>
      <c r="V835" s="62"/>
      <c r="W835" s="61"/>
      <c r="X835" s="61"/>
      <c r="Y835" s="61"/>
      <c r="Z835" s="61"/>
      <c r="AA835" s="61"/>
      <c r="AB835" s="62"/>
      <c r="AC835" s="61"/>
      <c r="AD835" s="64"/>
      <c r="AE835" s="61"/>
    </row>
    <row r="836" spans="1:31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4"/>
      <c r="U836" s="64"/>
      <c r="V836" s="62"/>
      <c r="W836" s="61"/>
      <c r="X836" s="61"/>
      <c r="Y836" s="61"/>
      <c r="Z836" s="61"/>
      <c r="AA836" s="61"/>
      <c r="AB836" s="62"/>
      <c r="AC836" s="61"/>
      <c r="AD836" s="64"/>
      <c r="AE836" s="61"/>
    </row>
    <row r="837" spans="1:31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4"/>
      <c r="U837" s="64"/>
      <c r="V837" s="62"/>
      <c r="W837" s="61"/>
      <c r="X837" s="61"/>
      <c r="Y837" s="61"/>
      <c r="Z837" s="61"/>
      <c r="AA837" s="61"/>
      <c r="AB837" s="62"/>
      <c r="AC837" s="61"/>
      <c r="AD837" s="64"/>
      <c r="AE837" s="61"/>
    </row>
    <row r="838" spans="1:31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4"/>
      <c r="U838" s="64"/>
      <c r="V838" s="62"/>
      <c r="W838" s="61"/>
      <c r="X838" s="61"/>
      <c r="Y838" s="61"/>
      <c r="Z838" s="61"/>
      <c r="AA838" s="61"/>
      <c r="AB838" s="62"/>
      <c r="AC838" s="61"/>
      <c r="AD838" s="64"/>
      <c r="AE838" s="61"/>
    </row>
    <row r="839" spans="1:31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4"/>
      <c r="U839" s="64"/>
      <c r="V839" s="62"/>
      <c r="W839" s="61"/>
      <c r="X839" s="61"/>
      <c r="Y839" s="61"/>
      <c r="Z839" s="61"/>
      <c r="AA839" s="61"/>
      <c r="AB839" s="62"/>
      <c r="AC839" s="61"/>
      <c r="AD839" s="64"/>
      <c r="AE839" s="61"/>
    </row>
    <row r="840" spans="1:31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4"/>
      <c r="U840" s="64"/>
      <c r="V840" s="62"/>
      <c r="W840" s="61"/>
      <c r="X840" s="61"/>
      <c r="Y840" s="61"/>
      <c r="Z840" s="61"/>
      <c r="AA840" s="61"/>
      <c r="AB840" s="62"/>
      <c r="AC840" s="61"/>
      <c r="AD840" s="64"/>
      <c r="AE840" s="61"/>
    </row>
    <row r="841" spans="1:3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4"/>
      <c r="U841" s="64"/>
      <c r="V841" s="62"/>
      <c r="W841" s="61"/>
      <c r="X841" s="61"/>
      <c r="Y841" s="61"/>
      <c r="Z841" s="61"/>
      <c r="AA841" s="61"/>
      <c r="AB841" s="62"/>
      <c r="AC841" s="61"/>
      <c r="AD841" s="64"/>
      <c r="AE841" s="61"/>
    </row>
    <row r="842" spans="1:31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4"/>
      <c r="U842" s="64"/>
      <c r="V842" s="62"/>
      <c r="W842" s="61"/>
      <c r="X842" s="61"/>
      <c r="Y842" s="61"/>
      <c r="Z842" s="61"/>
      <c r="AA842" s="61"/>
      <c r="AB842" s="62"/>
      <c r="AC842" s="61"/>
      <c r="AD842" s="64"/>
      <c r="AE842" s="61"/>
    </row>
    <row r="843" spans="1:31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4"/>
      <c r="U843" s="64"/>
      <c r="V843" s="62"/>
      <c r="W843" s="61"/>
      <c r="X843" s="61"/>
      <c r="Y843" s="61"/>
      <c r="Z843" s="61"/>
      <c r="AA843" s="61"/>
      <c r="AB843" s="62"/>
      <c r="AC843" s="61"/>
      <c r="AD843" s="64"/>
      <c r="AE843" s="61"/>
    </row>
    <row r="844" spans="1:31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4"/>
      <c r="U844" s="64"/>
      <c r="V844" s="62"/>
      <c r="W844" s="61"/>
      <c r="X844" s="61"/>
      <c r="Y844" s="61"/>
      <c r="Z844" s="61"/>
      <c r="AA844" s="61"/>
      <c r="AB844" s="62"/>
      <c r="AC844" s="61"/>
      <c r="AD844" s="64"/>
      <c r="AE844" s="61"/>
    </row>
    <row r="845" spans="1:31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4"/>
      <c r="U845" s="64"/>
      <c r="V845" s="62"/>
      <c r="W845" s="61"/>
      <c r="X845" s="61"/>
      <c r="Y845" s="61"/>
      <c r="Z845" s="61"/>
      <c r="AA845" s="61"/>
      <c r="AB845" s="62"/>
      <c r="AC845" s="61"/>
      <c r="AD845" s="64"/>
      <c r="AE845" s="61"/>
    </row>
    <row r="846" spans="1:31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4"/>
      <c r="U846" s="64"/>
      <c r="V846" s="62"/>
      <c r="W846" s="61"/>
      <c r="X846" s="61"/>
      <c r="Y846" s="61"/>
      <c r="Z846" s="61"/>
      <c r="AA846" s="61"/>
      <c r="AB846" s="62"/>
      <c r="AC846" s="61"/>
      <c r="AD846" s="64"/>
      <c r="AE846" s="61"/>
    </row>
    <row r="847" spans="1:31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4"/>
      <c r="U847" s="64"/>
      <c r="V847" s="62"/>
      <c r="W847" s="61"/>
      <c r="X847" s="61"/>
      <c r="Y847" s="61"/>
      <c r="Z847" s="61"/>
      <c r="AA847" s="61"/>
      <c r="AB847" s="62"/>
      <c r="AC847" s="61"/>
      <c r="AD847" s="64"/>
      <c r="AE847" s="61"/>
    </row>
    <row r="848" spans="1:31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4"/>
      <c r="U848" s="64"/>
      <c r="V848" s="62"/>
      <c r="W848" s="61"/>
      <c r="X848" s="61"/>
      <c r="Y848" s="61"/>
      <c r="Z848" s="61"/>
      <c r="AA848" s="61"/>
      <c r="AB848" s="62"/>
      <c r="AC848" s="61"/>
      <c r="AD848" s="64"/>
      <c r="AE848" s="61"/>
    </row>
    <row r="849" spans="1:31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4"/>
      <c r="U849" s="64"/>
      <c r="V849" s="62"/>
      <c r="W849" s="61"/>
      <c r="X849" s="61"/>
      <c r="Y849" s="61"/>
      <c r="Z849" s="61"/>
      <c r="AA849" s="61"/>
      <c r="AB849" s="62"/>
      <c r="AC849" s="61"/>
      <c r="AD849" s="64"/>
      <c r="AE849" s="61"/>
    </row>
    <row r="850" spans="1:31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4"/>
      <c r="U850" s="64"/>
      <c r="V850" s="62"/>
      <c r="W850" s="61"/>
      <c r="X850" s="61"/>
      <c r="Y850" s="61"/>
      <c r="Z850" s="61"/>
      <c r="AA850" s="61"/>
      <c r="AB850" s="62"/>
      <c r="AC850" s="61"/>
      <c r="AD850" s="64"/>
      <c r="AE850" s="61"/>
    </row>
    <row r="851" spans="1:3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4"/>
      <c r="U851" s="64"/>
      <c r="V851" s="62"/>
      <c r="W851" s="61"/>
      <c r="X851" s="61"/>
      <c r="Y851" s="61"/>
      <c r="Z851" s="61"/>
      <c r="AA851" s="61"/>
      <c r="AB851" s="62"/>
      <c r="AC851" s="61"/>
      <c r="AD851" s="64"/>
      <c r="AE851" s="61"/>
    </row>
    <row r="852" spans="1:31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4"/>
      <c r="U852" s="64"/>
      <c r="V852" s="62"/>
      <c r="W852" s="61"/>
      <c r="X852" s="61"/>
      <c r="Y852" s="61"/>
      <c r="Z852" s="61"/>
      <c r="AA852" s="61"/>
      <c r="AB852" s="62"/>
      <c r="AC852" s="61"/>
      <c r="AD852" s="64"/>
      <c r="AE852" s="61"/>
    </row>
    <row r="853" spans="1:31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4"/>
      <c r="U853" s="64"/>
      <c r="V853" s="62"/>
      <c r="W853" s="61"/>
      <c r="X853" s="61"/>
      <c r="Y853" s="61"/>
      <c r="Z853" s="61"/>
      <c r="AA853" s="61"/>
      <c r="AB853" s="62"/>
      <c r="AC853" s="61"/>
      <c r="AD853" s="64"/>
      <c r="AE853" s="61"/>
    </row>
    <row r="854" spans="1:31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4"/>
      <c r="U854" s="64"/>
      <c r="V854" s="62"/>
      <c r="W854" s="61"/>
      <c r="X854" s="61"/>
      <c r="Y854" s="61"/>
      <c r="Z854" s="61"/>
      <c r="AA854" s="61"/>
      <c r="AB854" s="62"/>
      <c r="AC854" s="61"/>
      <c r="AD854" s="64"/>
      <c r="AE854" s="61"/>
    </row>
    <row r="855" spans="1:31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4"/>
      <c r="U855" s="64"/>
      <c r="V855" s="62"/>
      <c r="W855" s="61"/>
      <c r="X855" s="61"/>
      <c r="Y855" s="61"/>
      <c r="Z855" s="61"/>
      <c r="AA855" s="61"/>
      <c r="AB855" s="62"/>
      <c r="AC855" s="61"/>
      <c r="AD855" s="64"/>
      <c r="AE855" s="61"/>
    </row>
    <row r="856" spans="1:31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4"/>
      <c r="U856" s="64"/>
      <c r="V856" s="62"/>
      <c r="W856" s="61"/>
      <c r="X856" s="61"/>
      <c r="Y856" s="61"/>
      <c r="Z856" s="61"/>
      <c r="AA856" s="61"/>
      <c r="AB856" s="62"/>
      <c r="AC856" s="61"/>
      <c r="AD856" s="64"/>
      <c r="AE856" s="61"/>
    </row>
    <row r="857" spans="1:31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4"/>
      <c r="U857" s="64"/>
      <c r="V857" s="62"/>
      <c r="W857" s="61"/>
      <c r="X857" s="61"/>
      <c r="Y857" s="61"/>
      <c r="Z857" s="61"/>
      <c r="AA857" s="61"/>
      <c r="AB857" s="62"/>
      <c r="AC857" s="61"/>
      <c r="AD857" s="64"/>
      <c r="AE857" s="61"/>
    </row>
    <row r="858" spans="1:31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4"/>
      <c r="U858" s="64"/>
      <c r="V858" s="62"/>
      <c r="W858" s="61"/>
      <c r="X858" s="61"/>
      <c r="Y858" s="61"/>
      <c r="Z858" s="61"/>
      <c r="AA858" s="61"/>
      <c r="AB858" s="62"/>
      <c r="AC858" s="61"/>
      <c r="AD858" s="64"/>
      <c r="AE858" s="61"/>
    </row>
    <row r="859" spans="1:31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4"/>
      <c r="U859" s="64"/>
      <c r="V859" s="62"/>
      <c r="W859" s="61"/>
      <c r="X859" s="61"/>
      <c r="Y859" s="61"/>
      <c r="Z859" s="61"/>
      <c r="AA859" s="61"/>
      <c r="AB859" s="62"/>
      <c r="AC859" s="61"/>
      <c r="AD859" s="64"/>
      <c r="AE859" s="61"/>
    </row>
    <row r="860" spans="1:31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4"/>
      <c r="U860" s="64"/>
      <c r="V860" s="62"/>
      <c r="W860" s="61"/>
      <c r="X860" s="61"/>
      <c r="Y860" s="61"/>
      <c r="Z860" s="61"/>
      <c r="AA860" s="61"/>
      <c r="AB860" s="62"/>
      <c r="AC860" s="61"/>
      <c r="AD860" s="64"/>
      <c r="AE860" s="61"/>
    </row>
    <row r="861" spans="1:3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4"/>
      <c r="U861" s="64"/>
      <c r="V861" s="62"/>
      <c r="W861" s="61"/>
      <c r="X861" s="61"/>
      <c r="Y861" s="61"/>
      <c r="Z861" s="61"/>
      <c r="AA861" s="61"/>
      <c r="AB861" s="62"/>
      <c r="AC861" s="61"/>
      <c r="AD861" s="64"/>
      <c r="AE861" s="61"/>
    </row>
    <row r="862" spans="1:31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4"/>
      <c r="U862" s="64"/>
      <c r="V862" s="62"/>
      <c r="W862" s="61"/>
      <c r="X862" s="61"/>
      <c r="Y862" s="61"/>
      <c r="Z862" s="61"/>
      <c r="AA862" s="61"/>
      <c r="AB862" s="62"/>
      <c r="AC862" s="61"/>
      <c r="AD862" s="64"/>
      <c r="AE862" s="61"/>
    </row>
    <row r="863" spans="1:31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4"/>
      <c r="U863" s="64"/>
      <c r="V863" s="62"/>
      <c r="W863" s="61"/>
      <c r="X863" s="61"/>
      <c r="Y863" s="61"/>
      <c r="Z863" s="61"/>
      <c r="AA863" s="61"/>
      <c r="AB863" s="62"/>
      <c r="AC863" s="61"/>
      <c r="AD863" s="64"/>
      <c r="AE863" s="61"/>
    </row>
    <row r="864" spans="1:31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4"/>
      <c r="U864" s="64"/>
      <c r="V864" s="62"/>
      <c r="W864" s="61"/>
      <c r="X864" s="61"/>
      <c r="Y864" s="61"/>
      <c r="Z864" s="61"/>
      <c r="AA864" s="61"/>
      <c r="AB864" s="62"/>
      <c r="AC864" s="61"/>
      <c r="AD864" s="64"/>
      <c r="AE864" s="61"/>
    </row>
    <row r="865" spans="1:31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4"/>
      <c r="U865" s="64"/>
      <c r="V865" s="62"/>
      <c r="W865" s="61"/>
      <c r="X865" s="61"/>
      <c r="Y865" s="61"/>
      <c r="Z865" s="61"/>
      <c r="AA865" s="61"/>
      <c r="AB865" s="62"/>
      <c r="AC865" s="61"/>
      <c r="AD865" s="64"/>
      <c r="AE865" s="61"/>
    </row>
    <row r="866" spans="1:31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4"/>
      <c r="U866" s="64"/>
      <c r="V866" s="62"/>
      <c r="W866" s="61"/>
      <c r="X866" s="61"/>
      <c r="Y866" s="61"/>
      <c r="Z866" s="61"/>
      <c r="AA866" s="61"/>
      <c r="AB866" s="62"/>
      <c r="AC866" s="61"/>
      <c r="AD866" s="64"/>
      <c r="AE866" s="61"/>
    </row>
    <row r="867" spans="1:31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4"/>
      <c r="U867" s="64"/>
      <c r="V867" s="62"/>
      <c r="W867" s="61"/>
      <c r="X867" s="61"/>
      <c r="Y867" s="61"/>
      <c r="Z867" s="61"/>
      <c r="AA867" s="61"/>
      <c r="AB867" s="62"/>
      <c r="AC867" s="61"/>
      <c r="AD867" s="64"/>
      <c r="AE867" s="61"/>
    </row>
    <row r="868" spans="1:31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4"/>
      <c r="U868" s="64"/>
      <c r="V868" s="62"/>
      <c r="W868" s="61"/>
      <c r="X868" s="61"/>
      <c r="Y868" s="61"/>
      <c r="Z868" s="61"/>
      <c r="AA868" s="61"/>
      <c r="AB868" s="62"/>
      <c r="AC868" s="61"/>
      <c r="AD868" s="64"/>
      <c r="AE868" s="61"/>
    </row>
    <row r="869" spans="1:31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4"/>
      <c r="U869" s="64"/>
      <c r="V869" s="62"/>
      <c r="W869" s="61"/>
      <c r="X869" s="61"/>
      <c r="Y869" s="61"/>
      <c r="Z869" s="61"/>
      <c r="AA869" s="61"/>
      <c r="AB869" s="62"/>
      <c r="AC869" s="61"/>
      <c r="AD869" s="64"/>
      <c r="AE869" s="61"/>
    </row>
    <row r="870" spans="1:31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4"/>
      <c r="U870" s="64"/>
      <c r="V870" s="62"/>
      <c r="W870" s="61"/>
      <c r="X870" s="61"/>
      <c r="Y870" s="61"/>
      <c r="Z870" s="61"/>
      <c r="AA870" s="61"/>
      <c r="AB870" s="62"/>
      <c r="AC870" s="61"/>
      <c r="AD870" s="64"/>
      <c r="AE870" s="61"/>
    </row>
    <row r="871" spans="1:3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4"/>
      <c r="U871" s="64"/>
      <c r="V871" s="62"/>
      <c r="W871" s="61"/>
      <c r="X871" s="61"/>
      <c r="Y871" s="61"/>
      <c r="Z871" s="61"/>
      <c r="AA871" s="61"/>
      <c r="AB871" s="62"/>
      <c r="AC871" s="61"/>
      <c r="AD871" s="64"/>
      <c r="AE871" s="61"/>
    </row>
    <row r="872" spans="1:31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4"/>
      <c r="U872" s="64"/>
      <c r="V872" s="62"/>
      <c r="W872" s="61"/>
      <c r="X872" s="61"/>
      <c r="Y872" s="61"/>
      <c r="Z872" s="61"/>
      <c r="AA872" s="61"/>
      <c r="AB872" s="62"/>
      <c r="AC872" s="61"/>
      <c r="AD872" s="64"/>
      <c r="AE872" s="61"/>
    </row>
    <row r="873" spans="1:31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4"/>
      <c r="U873" s="64"/>
      <c r="V873" s="62"/>
      <c r="W873" s="61"/>
      <c r="X873" s="61"/>
      <c r="Y873" s="61"/>
      <c r="Z873" s="61"/>
      <c r="AA873" s="61"/>
      <c r="AB873" s="62"/>
      <c r="AC873" s="61"/>
      <c r="AD873" s="64"/>
      <c r="AE873" s="61"/>
    </row>
    <row r="874" spans="1:31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4"/>
      <c r="U874" s="64"/>
      <c r="V874" s="62"/>
      <c r="W874" s="61"/>
      <c r="X874" s="61"/>
      <c r="Y874" s="61"/>
      <c r="Z874" s="61"/>
      <c r="AA874" s="61"/>
      <c r="AB874" s="62"/>
      <c r="AC874" s="61"/>
      <c r="AD874" s="64"/>
      <c r="AE874" s="61"/>
    </row>
    <row r="875" spans="1:31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4"/>
      <c r="U875" s="64"/>
      <c r="V875" s="62"/>
      <c r="W875" s="61"/>
      <c r="X875" s="61"/>
      <c r="Y875" s="61"/>
      <c r="Z875" s="61"/>
      <c r="AA875" s="61"/>
      <c r="AB875" s="62"/>
      <c r="AC875" s="61"/>
      <c r="AD875" s="64"/>
      <c r="AE875" s="61"/>
    </row>
    <row r="876" spans="1:31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4"/>
      <c r="U876" s="64"/>
      <c r="V876" s="62"/>
      <c r="W876" s="61"/>
      <c r="X876" s="61"/>
      <c r="Y876" s="61"/>
      <c r="Z876" s="61"/>
      <c r="AA876" s="61"/>
      <c r="AB876" s="62"/>
      <c r="AC876" s="61"/>
      <c r="AD876" s="64"/>
      <c r="AE876" s="61"/>
    </row>
    <row r="877" spans="1:31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4"/>
      <c r="U877" s="64"/>
      <c r="V877" s="62"/>
      <c r="W877" s="61"/>
      <c r="X877" s="61"/>
      <c r="Y877" s="61"/>
      <c r="Z877" s="61"/>
      <c r="AA877" s="61"/>
      <c r="AB877" s="62"/>
      <c r="AC877" s="61"/>
      <c r="AD877" s="64"/>
      <c r="AE877" s="61"/>
    </row>
    <row r="878" spans="1:31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4"/>
      <c r="U878" s="64"/>
      <c r="V878" s="62"/>
      <c r="W878" s="61"/>
      <c r="X878" s="61"/>
      <c r="Y878" s="61"/>
      <c r="Z878" s="61"/>
      <c r="AA878" s="61"/>
      <c r="AB878" s="62"/>
      <c r="AC878" s="61"/>
      <c r="AD878" s="64"/>
      <c r="AE878" s="61"/>
    </row>
    <row r="879" spans="1:31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4"/>
      <c r="U879" s="64"/>
      <c r="V879" s="62"/>
      <c r="W879" s="61"/>
      <c r="X879" s="61"/>
      <c r="Y879" s="61"/>
      <c r="Z879" s="61"/>
      <c r="AA879" s="61"/>
      <c r="AB879" s="62"/>
      <c r="AC879" s="61"/>
      <c r="AD879" s="64"/>
      <c r="AE879" s="61"/>
    </row>
    <row r="880" spans="1:31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4"/>
      <c r="U880" s="64"/>
      <c r="V880" s="62"/>
      <c r="W880" s="61"/>
      <c r="X880" s="61"/>
      <c r="Y880" s="61"/>
      <c r="Z880" s="61"/>
      <c r="AA880" s="61"/>
      <c r="AB880" s="62"/>
      <c r="AC880" s="61"/>
      <c r="AD880" s="64"/>
      <c r="AE880" s="61"/>
    </row>
    <row r="881" spans="1:3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4"/>
      <c r="U881" s="64"/>
      <c r="V881" s="62"/>
      <c r="W881" s="61"/>
      <c r="X881" s="61"/>
      <c r="Y881" s="61"/>
      <c r="Z881" s="61"/>
      <c r="AA881" s="61"/>
      <c r="AB881" s="62"/>
      <c r="AC881" s="61"/>
      <c r="AD881" s="64"/>
      <c r="AE881" s="61"/>
    </row>
    <row r="882" spans="1:31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4"/>
      <c r="U882" s="64"/>
      <c r="V882" s="62"/>
      <c r="W882" s="61"/>
      <c r="X882" s="61"/>
      <c r="Y882" s="61"/>
      <c r="Z882" s="61"/>
      <c r="AA882" s="61"/>
      <c r="AB882" s="62"/>
      <c r="AC882" s="61"/>
      <c r="AD882" s="64"/>
      <c r="AE882" s="61"/>
    </row>
    <row r="883" spans="1:31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4"/>
      <c r="U883" s="64"/>
      <c r="V883" s="62"/>
      <c r="W883" s="61"/>
      <c r="X883" s="61"/>
      <c r="Y883" s="61"/>
      <c r="Z883" s="61"/>
      <c r="AA883" s="61"/>
      <c r="AB883" s="62"/>
      <c r="AC883" s="61"/>
      <c r="AD883" s="64"/>
      <c r="AE883" s="61"/>
    </row>
    <row r="884" spans="1:31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4"/>
      <c r="U884" s="64"/>
      <c r="V884" s="62"/>
      <c r="W884" s="61"/>
      <c r="X884" s="61"/>
      <c r="Y884" s="61"/>
      <c r="Z884" s="61"/>
      <c r="AA884" s="61"/>
      <c r="AB884" s="62"/>
      <c r="AC884" s="61"/>
      <c r="AD884" s="64"/>
      <c r="AE884" s="61"/>
    </row>
    <row r="885" spans="1:31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4"/>
      <c r="U885" s="64"/>
      <c r="V885" s="62"/>
      <c r="W885" s="61"/>
      <c r="X885" s="61"/>
      <c r="Y885" s="61"/>
      <c r="Z885" s="61"/>
      <c r="AA885" s="61"/>
      <c r="AB885" s="62"/>
      <c r="AC885" s="61"/>
      <c r="AD885" s="64"/>
      <c r="AE885" s="61"/>
    </row>
    <row r="886" spans="1:31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4"/>
      <c r="U886" s="64"/>
      <c r="V886" s="62"/>
      <c r="W886" s="61"/>
      <c r="X886" s="61"/>
      <c r="Y886" s="61"/>
      <c r="Z886" s="61"/>
      <c r="AA886" s="61"/>
      <c r="AB886" s="62"/>
      <c r="AC886" s="61"/>
      <c r="AD886" s="64"/>
      <c r="AE886" s="61"/>
    </row>
    <row r="887" spans="1:31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4"/>
      <c r="U887" s="64"/>
      <c r="V887" s="62"/>
      <c r="W887" s="61"/>
      <c r="X887" s="61"/>
      <c r="Y887" s="61"/>
      <c r="Z887" s="61"/>
      <c r="AA887" s="61"/>
      <c r="AB887" s="62"/>
      <c r="AC887" s="61"/>
      <c r="AD887" s="64"/>
      <c r="AE887" s="61"/>
    </row>
    <row r="888" spans="1:31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4"/>
      <c r="U888" s="64"/>
      <c r="V888" s="62"/>
      <c r="W888" s="61"/>
      <c r="X888" s="61"/>
      <c r="Y888" s="61"/>
      <c r="Z888" s="61"/>
      <c r="AA888" s="61"/>
      <c r="AB888" s="62"/>
      <c r="AC888" s="61"/>
      <c r="AD888" s="64"/>
      <c r="AE888" s="61"/>
    </row>
    <row r="889" spans="1:31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4"/>
      <c r="U889" s="64"/>
      <c r="V889" s="62"/>
      <c r="W889" s="61"/>
      <c r="X889" s="61"/>
      <c r="Y889" s="61"/>
      <c r="Z889" s="61"/>
      <c r="AA889" s="61"/>
      <c r="AB889" s="62"/>
      <c r="AC889" s="61"/>
      <c r="AD889" s="64"/>
      <c r="AE889" s="61"/>
    </row>
    <row r="890" spans="1:31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4"/>
      <c r="U890" s="64"/>
      <c r="V890" s="62"/>
      <c r="W890" s="61"/>
      <c r="X890" s="61"/>
      <c r="Y890" s="61"/>
      <c r="Z890" s="61"/>
      <c r="AA890" s="61"/>
      <c r="AB890" s="62"/>
      <c r="AC890" s="61"/>
      <c r="AD890" s="64"/>
      <c r="AE890" s="61"/>
    </row>
    <row r="891" spans="1:3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4"/>
      <c r="U891" s="64"/>
      <c r="V891" s="62"/>
      <c r="W891" s="61"/>
      <c r="X891" s="61"/>
      <c r="Y891" s="61"/>
      <c r="Z891" s="61"/>
      <c r="AA891" s="61"/>
      <c r="AB891" s="62"/>
      <c r="AC891" s="61"/>
      <c r="AD891" s="64"/>
      <c r="AE891" s="61"/>
    </row>
    <row r="892" spans="1:31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4"/>
      <c r="U892" s="64"/>
      <c r="V892" s="62"/>
      <c r="W892" s="61"/>
      <c r="X892" s="61"/>
      <c r="Y892" s="61"/>
      <c r="Z892" s="61"/>
      <c r="AA892" s="61"/>
      <c r="AB892" s="62"/>
      <c r="AC892" s="61"/>
      <c r="AD892" s="64"/>
      <c r="AE892" s="61"/>
    </row>
    <row r="893" spans="1:31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4"/>
      <c r="U893" s="64"/>
      <c r="V893" s="62"/>
      <c r="W893" s="61"/>
      <c r="X893" s="61"/>
      <c r="Y893" s="61"/>
      <c r="Z893" s="61"/>
      <c r="AA893" s="61"/>
      <c r="AB893" s="62"/>
      <c r="AC893" s="61"/>
      <c r="AD893" s="64"/>
      <c r="AE893" s="61"/>
    </row>
    <row r="894" spans="1:31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4"/>
      <c r="U894" s="64"/>
      <c r="V894" s="62"/>
      <c r="W894" s="61"/>
      <c r="X894" s="61"/>
      <c r="Y894" s="61"/>
      <c r="Z894" s="61"/>
      <c r="AA894" s="61"/>
      <c r="AB894" s="62"/>
      <c r="AC894" s="61"/>
      <c r="AD894" s="64"/>
      <c r="AE894" s="61"/>
    </row>
    <row r="895" spans="1:31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4"/>
      <c r="U895" s="64"/>
      <c r="V895" s="62"/>
      <c r="W895" s="61"/>
      <c r="X895" s="61"/>
      <c r="Y895" s="61"/>
      <c r="Z895" s="61"/>
      <c r="AA895" s="61"/>
      <c r="AB895" s="62"/>
      <c r="AC895" s="61"/>
      <c r="AD895" s="64"/>
      <c r="AE895" s="61"/>
    </row>
    <row r="896" spans="1:31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4"/>
      <c r="U896" s="64"/>
      <c r="V896" s="62"/>
      <c r="W896" s="61"/>
      <c r="X896" s="61"/>
      <c r="Y896" s="61"/>
      <c r="Z896" s="61"/>
      <c r="AA896" s="61"/>
      <c r="AB896" s="62"/>
      <c r="AC896" s="61"/>
      <c r="AD896" s="64"/>
      <c r="AE896" s="61"/>
    </row>
    <row r="897" spans="1:31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4"/>
      <c r="U897" s="64"/>
      <c r="V897" s="62"/>
      <c r="W897" s="61"/>
      <c r="X897" s="61"/>
      <c r="Y897" s="61"/>
      <c r="Z897" s="61"/>
      <c r="AA897" s="61"/>
      <c r="AB897" s="62"/>
      <c r="AC897" s="61"/>
      <c r="AD897" s="64"/>
      <c r="AE897" s="61"/>
    </row>
    <row r="898" spans="1:31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4"/>
      <c r="U898" s="64"/>
      <c r="V898" s="62"/>
      <c r="W898" s="61"/>
      <c r="X898" s="61"/>
      <c r="Y898" s="61"/>
      <c r="Z898" s="61"/>
      <c r="AA898" s="61"/>
      <c r="AB898" s="62"/>
      <c r="AC898" s="61"/>
      <c r="AD898" s="64"/>
      <c r="AE898" s="61"/>
    </row>
    <row r="899" spans="1:31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4"/>
      <c r="U899" s="64"/>
      <c r="V899" s="62"/>
      <c r="W899" s="61"/>
      <c r="X899" s="61"/>
      <c r="Y899" s="61"/>
      <c r="Z899" s="61"/>
      <c r="AA899" s="61"/>
      <c r="AB899" s="62"/>
      <c r="AC899" s="61"/>
      <c r="AD899" s="64"/>
      <c r="AE899" s="61"/>
    </row>
    <row r="900" spans="1:31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4"/>
      <c r="U900" s="64"/>
      <c r="V900" s="62"/>
      <c r="W900" s="61"/>
      <c r="X900" s="61"/>
      <c r="Y900" s="61"/>
      <c r="Z900" s="61"/>
      <c r="AA900" s="61"/>
      <c r="AB900" s="62"/>
      <c r="AC900" s="61"/>
      <c r="AD900" s="64"/>
      <c r="AE900" s="61"/>
    </row>
    <row r="901" spans="1:3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4"/>
      <c r="U901" s="64"/>
      <c r="V901" s="62"/>
      <c r="W901" s="61"/>
      <c r="X901" s="61"/>
      <c r="Y901" s="61"/>
      <c r="Z901" s="61"/>
      <c r="AA901" s="61"/>
      <c r="AB901" s="62"/>
      <c r="AC901" s="61"/>
      <c r="AD901" s="64"/>
      <c r="AE901" s="61"/>
    </row>
    <row r="902" spans="1:31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4"/>
      <c r="U902" s="64"/>
      <c r="V902" s="62"/>
      <c r="W902" s="61"/>
      <c r="X902" s="61"/>
      <c r="Y902" s="61"/>
      <c r="Z902" s="61"/>
      <c r="AA902" s="61"/>
      <c r="AB902" s="62"/>
      <c r="AC902" s="61"/>
      <c r="AD902" s="64"/>
      <c r="AE902" s="61"/>
    </row>
    <row r="903" spans="1:31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4"/>
      <c r="U903" s="64"/>
      <c r="V903" s="62"/>
      <c r="W903" s="61"/>
      <c r="X903" s="61"/>
      <c r="Y903" s="61"/>
      <c r="Z903" s="61"/>
      <c r="AA903" s="61"/>
      <c r="AB903" s="62"/>
      <c r="AC903" s="61"/>
      <c r="AD903" s="64"/>
      <c r="AE903" s="61"/>
    </row>
    <row r="904" spans="1:31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4"/>
      <c r="U904" s="64"/>
      <c r="V904" s="62"/>
      <c r="W904" s="61"/>
      <c r="X904" s="61"/>
      <c r="Y904" s="61"/>
      <c r="Z904" s="61"/>
      <c r="AA904" s="61"/>
      <c r="AB904" s="62"/>
      <c r="AC904" s="61"/>
      <c r="AD904" s="64"/>
      <c r="AE904" s="61"/>
    </row>
    <row r="905" spans="1:31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4"/>
      <c r="U905" s="64"/>
      <c r="V905" s="62"/>
      <c r="W905" s="61"/>
      <c r="X905" s="61"/>
      <c r="Y905" s="61"/>
      <c r="Z905" s="61"/>
      <c r="AA905" s="61"/>
      <c r="AB905" s="62"/>
      <c r="AC905" s="61"/>
      <c r="AD905" s="64"/>
      <c r="AE905" s="61"/>
    </row>
    <row r="906" spans="1:31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4"/>
      <c r="U906" s="64"/>
      <c r="V906" s="62"/>
      <c r="W906" s="61"/>
      <c r="X906" s="61"/>
      <c r="Y906" s="61"/>
      <c r="Z906" s="61"/>
      <c r="AA906" s="61"/>
      <c r="AB906" s="62"/>
      <c r="AC906" s="61"/>
      <c r="AD906" s="64"/>
      <c r="AE906" s="61"/>
    </row>
    <row r="907" spans="1:31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4"/>
      <c r="U907" s="64"/>
      <c r="V907" s="62"/>
      <c r="W907" s="61"/>
      <c r="X907" s="61"/>
      <c r="Y907" s="61"/>
      <c r="Z907" s="61"/>
      <c r="AA907" s="61"/>
      <c r="AB907" s="62"/>
      <c r="AC907" s="61"/>
      <c r="AD907" s="64"/>
      <c r="AE907" s="61"/>
    </row>
    <row r="908" spans="1:31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4"/>
      <c r="U908" s="64"/>
      <c r="V908" s="62"/>
      <c r="W908" s="61"/>
      <c r="X908" s="61"/>
      <c r="Y908" s="61"/>
      <c r="Z908" s="61"/>
      <c r="AA908" s="61"/>
      <c r="AB908" s="62"/>
      <c r="AC908" s="61"/>
      <c r="AD908" s="64"/>
      <c r="AE908" s="61"/>
    </row>
    <row r="909" spans="1:31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4"/>
      <c r="U909" s="64"/>
      <c r="V909" s="62"/>
      <c r="W909" s="61"/>
      <c r="X909" s="61"/>
      <c r="Y909" s="61"/>
      <c r="Z909" s="61"/>
      <c r="AA909" s="61"/>
      <c r="AB909" s="62"/>
      <c r="AC909" s="61"/>
      <c r="AD909" s="64"/>
      <c r="AE909" s="61"/>
    </row>
    <row r="910" spans="1:31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4"/>
      <c r="U910" s="64"/>
      <c r="V910" s="62"/>
      <c r="W910" s="61"/>
      <c r="X910" s="61"/>
      <c r="Y910" s="61"/>
      <c r="Z910" s="61"/>
      <c r="AA910" s="61"/>
      <c r="AB910" s="62"/>
      <c r="AC910" s="61"/>
      <c r="AD910" s="64"/>
      <c r="AE910" s="61"/>
    </row>
    <row r="911" spans="1:3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4"/>
      <c r="U911" s="64"/>
      <c r="V911" s="62"/>
      <c r="W911" s="61"/>
      <c r="X911" s="61"/>
      <c r="Y911" s="61"/>
      <c r="Z911" s="61"/>
      <c r="AA911" s="61"/>
      <c r="AB911" s="62"/>
      <c r="AC911" s="61"/>
      <c r="AD911" s="64"/>
      <c r="AE911" s="61"/>
    </row>
    <row r="912" spans="1:31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4"/>
      <c r="U912" s="64"/>
      <c r="V912" s="62"/>
      <c r="W912" s="61"/>
      <c r="X912" s="61"/>
      <c r="Y912" s="61"/>
      <c r="Z912" s="61"/>
      <c r="AA912" s="61"/>
      <c r="AB912" s="62"/>
      <c r="AC912" s="61"/>
      <c r="AD912" s="64"/>
      <c r="AE912" s="61"/>
    </row>
    <row r="913" spans="1:31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4"/>
      <c r="U913" s="64"/>
      <c r="V913" s="62"/>
      <c r="W913" s="61"/>
      <c r="X913" s="61"/>
      <c r="Y913" s="61"/>
      <c r="Z913" s="61"/>
      <c r="AA913" s="61"/>
      <c r="AB913" s="62"/>
      <c r="AC913" s="61"/>
      <c r="AD913" s="64"/>
      <c r="AE913" s="61"/>
    </row>
    <row r="914" spans="1:31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4"/>
      <c r="U914" s="64"/>
      <c r="V914" s="62"/>
      <c r="W914" s="61"/>
      <c r="X914" s="61"/>
      <c r="Y914" s="61"/>
      <c r="Z914" s="61"/>
      <c r="AA914" s="61"/>
      <c r="AB914" s="62"/>
      <c r="AC914" s="61"/>
      <c r="AD914" s="64"/>
      <c r="AE914" s="61"/>
    </row>
    <row r="915" spans="1:31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4"/>
      <c r="U915" s="64"/>
      <c r="V915" s="62"/>
      <c r="W915" s="61"/>
      <c r="X915" s="61"/>
      <c r="Y915" s="61"/>
      <c r="Z915" s="61"/>
      <c r="AA915" s="61"/>
      <c r="AB915" s="62"/>
      <c r="AC915" s="61"/>
      <c r="AD915" s="64"/>
      <c r="AE915" s="61"/>
    </row>
    <row r="916" spans="1:31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4"/>
      <c r="U916" s="64"/>
      <c r="V916" s="62"/>
      <c r="W916" s="61"/>
      <c r="X916" s="61"/>
      <c r="Y916" s="61"/>
      <c r="Z916" s="61"/>
      <c r="AA916" s="61"/>
      <c r="AB916" s="62"/>
      <c r="AC916" s="61"/>
      <c r="AD916" s="64"/>
      <c r="AE916" s="61"/>
    </row>
    <row r="917" spans="1:31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4"/>
      <c r="U917" s="64"/>
      <c r="V917" s="62"/>
      <c r="W917" s="61"/>
      <c r="X917" s="61"/>
      <c r="Y917" s="61"/>
      <c r="Z917" s="61"/>
      <c r="AA917" s="61"/>
      <c r="AB917" s="62"/>
      <c r="AC917" s="61"/>
      <c r="AD917" s="64"/>
      <c r="AE917" s="61"/>
    </row>
    <row r="918" spans="1:31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4"/>
      <c r="U918" s="64"/>
      <c r="V918" s="62"/>
      <c r="W918" s="61"/>
      <c r="X918" s="61"/>
      <c r="Y918" s="61"/>
      <c r="Z918" s="61"/>
      <c r="AA918" s="61"/>
      <c r="AB918" s="62"/>
      <c r="AC918" s="61"/>
      <c r="AD918" s="64"/>
      <c r="AE918" s="61"/>
    </row>
    <row r="919" spans="1:31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4"/>
      <c r="U919" s="64"/>
      <c r="V919" s="62"/>
      <c r="W919" s="61"/>
      <c r="X919" s="61"/>
      <c r="Y919" s="61"/>
      <c r="Z919" s="61"/>
      <c r="AA919" s="61"/>
      <c r="AB919" s="62"/>
      <c r="AC919" s="61"/>
      <c r="AD919" s="64"/>
      <c r="AE919" s="61"/>
    </row>
    <row r="920" spans="1:31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4"/>
      <c r="U920" s="64"/>
      <c r="V920" s="62"/>
      <c r="W920" s="61"/>
      <c r="X920" s="61"/>
      <c r="Y920" s="61"/>
      <c r="Z920" s="61"/>
      <c r="AA920" s="61"/>
      <c r="AB920" s="62"/>
      <c r="AC920" s="61"/>
      <c r="AD920" s="64"/>
      <c r="AE920" s="61"/>
    </row>
    <row r="921" spans="1:3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4"/>
      <c r="U921" s="64"/>
      <c r="V921" s="62"/>
      <c r="W921" s="61"/>
      <c r="X921" s="61"/>
      <c r="Y921" s="61"/>
      <c r="Z921" s="61"/>
      <c r="AA921" s="61"/>
      <c r="AB921" s="62"/>
      <c r="AC921" s="61"/>
      <c r="AD921" s="64"/>
      <c r="AE921" s="61"/>
    </row>
    <row r="922" spans="1:31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4"/>
      <c r="U922" s="64"/>
      <c r="V922" s="62"/>
      <c r="W922" s="61"/>
      <c r="X922" s="61"/>
      <c r="Y922" s="61"/>
      <c r="Z922" s="61"/>
      <c r="AA922" s="61"/>
      <c r="AB922" s="62"/>
      <c r="AC922" s="61"/>
      <c r="AD922" s="64"/>
      <c r="AE922" s="61"/>
    </row>
    <row r="923" spans="1:31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4"/>
      <c r="U923" s="64"/>
      <c r="V923" s="62"/>
      <c r="W923" s="61"/>
      <c r="X923" s="61"/>
      <c r="Y923" s="61"/>
      <c r="Z923" s="61"/>
      <c r="AA923" s="61"/>
      <c r="AB923" s="62"/>
      <c r="AC923" s="61"/>
      <c r="AD923" s="64"/>
      <c r="AE923" s="61"/>
    </row>
    <row r="924" spans="1:31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4"/>
      <c r="U924" s="64"/>
      <c r="V924" s="62"/>
      <c r="W924" s="61"/>
      <c r="X924" s="61"/>
      <c r="Y924" s="61"/>
      <c r="Z924" s="61"/>
      <c r="AA924" s="61"/>
      <c r="AB924" s="62"/>
      <c r="AC924" s="61"/>
      <c r="AD924" s="64"/>
      <c r="AE924" s="61"/>
    </row>
    <row r="925" spans="1:31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4"/>
      <c r="U925" s="64"/>
      <c r="V925" s="62"/>
      <c r="W925" s="61"/>
      <c r="X925" s="61"/>
      <c r="Y925" s="61"/>
      <c r="Z925" s="61"/>
      <c r="AA925" s="61"/>
      <c r="AB925" s="62"/>
      <c r="AC925" s="61"/>
      <c r="AD925" s="64"/>
      <c r="AE925" s="61"/>
    </row>
    <row r="926" spans="1:31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4"/>
      <c r="U926" s="64"/>
      <c r="V926" s="62"/>
      <c r="W926" s="61"/>
      <c r="X926" s="61"/>
      <c r="Y926" s="61"/>
      <c r="Z926" s="61"/>
      <c r="AA926" s="61"/>
      <c r="AB926" s="62"/>
      <c r="AC926" s="61"/>
      <c r="AD926" s="64"/>
      <c r="AE926" s="61"/>
    </row>
    <row r="927" spans="1:31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4"/>
      <c r="U927" s="64"/>
      <c r="V927" s="62"/>
      <c r="W927" s="61"/>
      <c r="X927" s="61"/>
      <c r="Y927" s="61"/>
      <c r="Z927" s="61"/>
      <c r="AA927" s="61"/>
      <c r="AB927" s="62"/>
      <c r="AC927" s="61"/>
      <c r="AD927" s="64"/>
      <c r="AE927" s="61"/>
    </row>
    <row r="928" spans="1:31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4"/>
      <c r="U928" s="64"/>
      <c r="V928" s="62"/>
      <c r="W928" s="61"/>
      <c r="X928" s="61"/>
      <c r="Y928" s="61"/>
      <c r="Z928" s="61"/>
      <c r="AA928" s="61"/>
      <c r="AB928" s="62"/>
      <c r="AC928" s="61"/>
      <c r="AD928" s="64"/>
      <c r="AE928" s="61"/>
    </row>
    <row r="929" spans="1:31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4"/>
      <c r="U929" s="64"/>
      <c r="V929" s="62"/>
      <c r="W929" s="61"/>
      <c r="X929" s="61"/>
      <c r="Y929" s="61"/>
      <c r="Z929" s="61"/>
      <c r="AA929" s="61"/>
      <c r="AB929" s="62"/>
      <c r="AC929" s="61"/>
      <c r="AD929" s="64"/>
      <c r="AE929" s="61"/>
    </row>
    <row r="930" spans="1:31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4"/>
      <c r="U930" s="64"/>
      <c r="V930" s="62"/>
      <c r="W930" s="61"/>
      <c r="X930" s="61"/>
      <c r="Y930" s="61"/>
      <c r="Z930" s="61"/>
      <c r="AA930" s="61"/>
      <c r="AB930" s="62"/>
      <c r="AC930" s="61"/>
      <c r="AD930" s="64"/>
      <c r="AE930" s="61"/>
    </row>
    <row r="931" spans="1: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4"/>
      <c r="U931" s="64"/>
      <c r="V931" s="62"/>
      <c r="W931" s="61"/>
      <c r="X931" s="61"/>
      <c r="Y931" s="61"/>
      <c r="Z931" s="61"/>
      <c r="AA931" s="61"/>
      <c r="AB931" s="62"/>
      <c r="AC931" s="61"/>
      <c r="AD931" s="64"/>
      <c r="AE931" s="61"/>
    </row>
    <row r="932" spans="1:31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4"/>
      <c r="U932" s="64"/>
      <c r="V932" s="62"/>
      <c r="W932" s="61"/>
      <c r="X932" s="61"/>
      <c r="Y932" s="61"/>
      <c r="Z932" s="61"/>
      <c r="AA932" s="61"/>
      <c r="AB932" s="62"/>
      <c r="AC932" s="61"/>
      <c r="AD932" s="64"/>
      <c r="AE932" s="61"/>
    </row>
    <row r="933" spans="1:31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4"/>
      <c r="U933" s="64"/>
      <c r="V933" s="62"/>
      <c r="W933" s="61"/>
      <c r="X933" s="61"/>
      <c r="Y933" s="61"/>
      <c r="Z933" s="61"/>
      <c r="AA933" s="61"/>
      <c r="AB933" s="62"/>
      <c r="AC933" s="61"/>
      <c r="AD933" s="64"/>
      <c r="AE933" s="61"/>
    </row>
    <row r="934" spans="1:31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4"/>
      <c r="U934" s="64"/>
      <c r="V934" s="62"/>
      <c r="W934" s="61"/>
      <c r="X934" s="61"/>
      <c r="Y934" s="61"/>
      <c r="Z934" s="61"/>
      <c r="AA934" s="61"/>
      <c r="AB934" s="62"/>
      <c r="AC934" s="61"/>
      <c r="AD934" s="64"/>
      <c r="AE934" s="61"/>
    </row>
    <row r="935" spans="1:31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4"/>
      <c r="U935" s="64"/>
      <c r="V935" s="62"/>
      <c r="W935" s="61"/>
      <c r="X935" s="61"/>
      <c r="Y935" s="61"/>
      <c r="Z935" s="61"/>
      <c r="AA935" s="61"/>
      <c r="AB935" s="62"/>
      <c r="AC935" s="61"/>
      <c r="AD935" s="64"/>
      <c r="AE935" s="61"/>
    </row>
    <row r="936" spans="1:31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4"/>
      <c r="U936" s="64"/>
      <c r="V936" s="62"/>
      <c r="W936" s="61"/>
      <c r="X936" s="61"/>
      <c r="Y936" s="61"/>
      <c r="Z936" s="61"/>
      <c r="AA936" s="61"/>
      <c r="AB936" s="62"/>
      <c r="AC936" s="61"/>
      <c r="AD936" s="64"/>
      <c r="AE936" s="61"/>
    </row>
    <row r="937" spans="1:31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4"/>
      <c r="U937" s="64"/>
      <c r="V937" s="62"/>
      <c r="W937" s="61"/>
      <c r="X937" s="61"/>
      <c r="Y937" s="61"/>
      <c r="Z937" s="61"/>
      <c r="AA937" s="61"/>
      <c r="AB937" s="62"/>
      <c r="AC937" s="61"/>
      <c r="AD937" s="64"/>
      <c r="AE937" s="61"/>
    </row>
    <row r="938" spans="1:31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4"/>
      <c r="U938" s="64"/>
      <c r="V938" s="62"/>
      <c r="W938" s="61"/>
      <c r="X938" s="61"/>
      <c r="Y938" s="61"/>
      <c r="Z938" s="61"/>
      <c r="AA938" s="61"/>
      <c r="AB938" s="62"/>
      <c r="AC938" s="61"/>
      <c r="AD938" s="64"/>
      <c r="AE938" s="61"/>
    </row>
    <row r="939" spans="1:31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4"/>
      <c r="U939" s="64"/>
      <c r="V939" s="62"/>
      <c r="W939" s="61"/>
      <c r="X939" s="61"/>
      <c r="Y939" s="61"/>
      <c r="Z939" s="61"/>
      <c r="AA939" s="61"/>
      <c r="AB939" s="62"/>
      <c r="AC939" s="61"/>
      <c r="AD939" s="64"/>
      <c r="AE939" s="61"/>
    </row>
    <row r="940" spans="1:31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4"/>
      <c r="U940" s="64"/>
      <c r="V940" s="62"/>
      <c r="W940" s="61"/>
      <c r="X940" s="61"/>
      <c r="Y940" s="61"/>
      <c r="Z940" s="61"/>
      <c r="AA940" s="61"/>
      <c r="AB940" s="62"/>
      <c r="AC940" s="61"/>
      <c r="AD940" s="64"/>
      <c r="AE940" s="61"/>
    </row>
    <row r="941" spans="1:3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4"/>
      <c r="U941" s="64"/>
      <c r="V941" s="62"/>
      <c r="W941" s="61"/>
      <c r="X941" s="61"/>
      <c r="Y941" s="61"/>
      <c r="Z941" s="61"/>
      <c r="AA941" s="61"/>
      <c r="AB941" s="62"/>
      <c r="AC941" s="61"/>
      <c r="AD941" s="64"/>
      <c r="AE941" s="61"/>
    </row>
    <row r="942" spans="1:31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4"/>
      <c r="U942" s="64"/>
      <c r="V942" s="62"/>
      <c r="W942" s="61"/>
      <c r="X942" s="61"/>
      <c r="Y942" s="61"/>
      <c r="Z942" s="61"/>
      <c r="AA942" s="61"/>
      <c r="AB942" s="62"/>
      <c r="AC942" s="61"/>
      <c r="AD942" s="64"/>
      <c r="AE942" s="61"/>
    </row>
    <row r="943" spans="1:31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4"/>
      <c r="U943" s="64"/>
      <c r="V943" s="62"/>
      <c r="W943" s="61"/>
      <c r="X943" s="61"/>
      <c r="Y943" s="61"/>
      <c r="Z943" s="61"/>
      <c r="AA943" s="61"/>
      <c r="AB943" s="62"/>
      <c r="AC943" s="61"/>
      <c r="AD943" s="64"/>
      <c r="AE943" s="61"/>
    </row>
    <row r="944" spans="1:31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4"/>
      <c r="U944" s="64"/>
      <c r="V944" s="62"/>
      <c r="W944" s="61"/>
      <c r="X944" s="61"/>
      <c r="Y944" s="61"/>
      <c r="Z944" s="61"/>
      <c r="AA944" s="61"/>
      <c r="AB944" s="62"/>
      <c r="AC944" s="61"/>
      <c r="AD944" s="64"/>
      <c r="AE944" s="61"/>
    </row>
    <row r="945" spans="1:31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4"/>
      <c r="U945" s="64"/>
      <c r="V945" s="62"/>
      <c r="W945" s="61"/>
      <c r="X945" s="61"/>
      <c r="Y945" s="61"/>
      <c r="Z945" s="61"/>
      <c r="AA945" s="61"/>
      <c r="AB945" s="62"/>
      <c r="AC945" s="61"/>
      <c r="AD945" s="64"/>
      <c r="AE945" s="61"/>
    </row>
    <row r="946" spans="1:31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4"/>
      <c r="U946" s="64"/>
      <c r="V946" s="62"/>
      <c r="W946" s="61"/>
      <c r="X946" s="61"/>
      <c r="Y946" s="61"/>
      <c r="Z946" s="61"/>
      <c r="AA946" s="61"/>
      <c r="AB946" s="62"/>
      <c r="AC946" s="61"/>
      <c r="AD946" s="64"/>
      <c r="AE946" s="61"/>
    </row>
    <row r="947" spans="1:31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4"/>
      <c r="U947" s="64"/>
      <c r="V947" s="62"/>
      <c r="W947" s="61"/>
      <c r="X947" s="61"/>
      <c r="Y947" s="61"/>
      <c r="Z947" s="61"/>
      <c r="AA947" s="61"/>
      <c r="AB947" s="62"/>
      <c r="AC947" s="61"/>
      <c r="AD947" s="64"/>
      <c r="AE947" s="61"/>
    </row>
    <row r="948" spans="1:31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4"/>
      <c r="U948" s="64"/>
      <c r="V948" s="62"/>
      <c r="W948" s="61"/>
      <c r="X948" s="61"/>
      <c r="Y948" s="61"/>
      <c r="Z948" s="61"/>
      <c r="AA948" s="61"/>
      <c r="AB948" s="62"/>
      <c r="AC948" s="61"/>
      <c r="AD948" s="64"/>
      <c r="AE948" s="61"/>
    </row>
    <row r="949" spans="1:31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4"/>
      <c r="U949" s="64"/>
      <c r="V949" s="62"/>
      <c r="W949" s="61"/>
      <c r="X949" s="61"/>
      <c r="Y949" s="61"/>
      <c r="Z949" s="61"/>
      <c r="AA949" s="61"/>
      <c r="AB949" s="62"/>
      <c r="AC949" s="61"/>
      <c r="AD949" s="64"/>
      <c r="AE949" s="61"/>
    </row>
    <row r="950" spans="1:31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4"/>
      <c r="U950" s="64"/>
      <c r="V950" s="62"/>
      <c r="W950" s="61"/>
      <c r="X950" s="61"/>
      <c r="Y950" s="61"/>
      <c r="Z950" s="61"/>
      <c r="AA950" s="61"/>
      <c r="AB950" s="62"/>
      <c r="AC950" s="61"/>
      <c r="AD950" s="64"/>
      <c r="AE950" s="61"/>
    </row>
    <row r="951" spans="1:3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4"/>
      <c r="U951" s="64"/>
      <c r="V951" s="62"/>
      <c r="W951" s="61"/>
      <c r="X951" s="61"/>
      <c r="Y951" s="61"/>
      <c r="Z951" s="61"/>
      <c r="AA951" s="61"/>
      <c r="AB951" s="62"/>
      <c r="AC951" s="61"/>
      <c r="AD951" s="64"/>
      <c r="AE951" s="61"/>
    </row>
    <row r="952" spans="1:31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4"/>
      <c r="U952" s="64"/>
      <c r="V952" s="62"/>
      <c r="W952" s="61"/>
      <c r="X952" s="61"/>
      <c r="Y952" s="61"/>
      <c r="Z952" s="61"/>
      <c r="AA952" s="61"/>
      <c r="AB952" s="62"/>
      <c r="AC952" s="61"/>
      <c r="AD952" s="64"/>
      <c r="AE952" s="61"/>
    </row>
    <row r="953" spans="1:31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4"/>
      <c r="U953" s="64"/>
      <c r="V953" s="62"/>
      <c r="W953" s="61"/>
      <c r="X953" s="61"/>
      <c r="Y953" s="61"/>
      <c r="Z953" s="61"/>
      <c r="AA953" s="61"/>
      <c r="AB953" s="62"/>
      <c r="AC953" s="61"/>
      <c r="AD953" s="64"/>
      <c r="AE953" s="61"/>
    </row>
    <row r="954" spans="1:31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4"/>
      <c r="U954" s="64"/>
      <c r="V954" s="62"/>
      <c r="W954" s="61"/>
      <c r="X954" s="61"/>
      <c r="Y954" s="61"/>
      <c r="Z954" s="61"/>
      <c r="AA954" s="61"/>
      <c r="AB954" s="62"/>
      <c r="AC954" s="61"/>
      <c r="AD954" s="64"/>
      <c r="AE954" s="61"/>
    </row>
    <row r="955" spans="1:31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4"/>
      <c r="U955" s="64"/>
      <c r="V955" s="62"/>
      <c r="W955" s="61"/>
      <c r="X955" s="61"/>
      <c r="Y955" s="61"/>
      <c r="Z955" s="61"/>
      <c r="AA955" s="61"/>
      <c r="AB955" s="62"/>
      <c r="AC955" s="61"/>
      <c r="AD955" s="64"/>
      <c r="AE955" s="61"/>
    </row>
    <row r="956" spans="1:31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4"/>
      <c r="U956" s="64"/>
      <c r="V956" s="62"/>
      <c r="W956" s="61"/>
      <c r="X956" s="61"/>
      <c r="Y956" s="61"/>
      <c r="Z956" s="61"/>
      <c r="AA956" s="61"/>
      <c r="AB956" s="62"/>
      <c r="AC956" s="61"/>
      <c r="AD956" s="64"/>
      <c r="AE956" s="61"/>
    </row>
    <row r="957" spans="1:31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4"/>
      <c r="U957" s="64"/>
      <c r="V957" s="62"/>
      <c r="W957" s="61"/>
      <c r="X957" s="61"/>
      <c r="Y957" s="61"/>
      <c r="Z957" s="61"/>
      <c r="AA957" s="61"/>
      <c r="AB957" s="62"/>
      <c r="AC957" s="61"/>
      <c r="AD957" s="64"/>
      <c r="AE957" s="61"/>
    </row>
    <row r="958" spans="1:31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4"/>
      <c r="U958" s="64"/>
      <c r="V958" s="62"/>
      <c r="W958" s="61"/>
      <c r="X958" s="61"/>
      <c r="Y958" s="61"/>
      <c r="Z958" s="61"/>
      <c r="AA958" s="61"/>
      <c r="AB958" s="62"/>
      <c r="AC958" s="61"/>
      <c r="AD958" s="64"/>
      <c r="AE958" s="61"/>
    </row>
    <row r="959" spans="1:31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4"/>
      <c r="U959" s="64"/>
      <c r="V959" s="62"/>
      <c r="W959" s="61"/>
      <c r="X959" s="61"/>
      <c r="Y959" s="61"/>
      <c r="Z959" s="61"/>
      <c r="AA959" s="61"/>
      <c r="AB959" s="62"/>
      <c r="AC959" s="61"/>
      <c r="AD959" s="64"/>
      <c r="AE959" s="61"/>
    </row>
    <row r="960" spans="1:31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4"/>
      <c r="U960" s="64"/>
      <c r="V960" s="62"/>
      <c r="W960" s="61"/>
      <c r="X960" s="61"/>
      <c r="Y960" s="61"/>
      <c r="Z960" s="61"/>
      <c r="AA960" s="61"/>
      <c r="AB960" s="62"/>
      <c r="AC960" s="61"/>
      <c r="AD960" s="64"/>
      <c r="AE960" s="61"/>
    </row>
    <row r="961" spans="1:3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4"/>
      <c r="U961" s="64"/>
      <c r="V961" s="62"/>
      <c r="W961" s="61"/>
      <c r="X961" s="61"/>
      <c r="Y961" s="61"/>
      <c r="Z961" s="61"/>
      <c r="AA961" s="61"/>
      <c r="AB961" s="62"/>
      <c r="AC961" s="61"/>
      <c r="AD961" s="64"/>
      <c r="AE961" s="61"/>
    </row>
    <row r="962" spans="1:31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4"/>
      <c r="U962" s="64"/>
      <c r="V962" s="62"/>
      <c r="W962" s="61"/>
      <c r="X962" s="61"/>
      <c r="Y962" s="61"/>
      <c r="Z962" s="61"/>
      <c r="AA962" s="61"/>
      <c r="AB962" s="62"/>
      <c r="AC962" s="61"/>
      <c r="AD962" s="64"/>
      <c r="AE962" s="61"/>
    </row>
    <row r="963" spans="1:31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4"/>
      <c r="U963" s="64"/>
      <c r="V963" s="62"/>
      <c r="W963" s="61"/>
      <c r="X963" s="61"/>
      <c r="Y963" s="61"/>
      <c r="Z963" s="61"/>
      <c r="AA963" s="61"/>
      <c r="AB963" s="62"/>
      <c r="AC963" s="61"/>
      <c r="AD963" s="64"/>
      <c r="AE963" s="61"/>
    </row>
    <row r="964" spans="1:31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4"/>
      <c r="U964" s="64"/>
      <c r="V964" s="62"/>
      <c r="W964" s="61"/>
      <c r="X964" s="61"/>
      <c r="Y964" s="61"/>
      <c r="Z964" s="61"/>
      <c r="AA964" s="61"/>
      <c r="AB964" s="62"/>
      <c r="AC964" s="61"/>
      <c r="AD964" s="64"/>
      <c r="AE964" s="61"/>
    </row>
    <row r="965" spans="1:31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4"/>
      <c r="U965" s="64"/>
      <c r="V965" s="62"/>
      <c r="W965" s="61"/>
      <c r="X965" s="61"/>
      <c r="Y965" s="61"/>
      <c r="Z965" s="61"/>
      <c r="AA965" s="61"/>
      <c r="AB965" s="62"/>
      <c r="AC965" s="61"/>
      <c r="AD965" s="64"/>
      <c r="AE965" s="61"/>
    </row>
    <row r="966" spans="1:31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4"/>
      <c r="U966" s="64"/>
      <c r="V966" s="62"/>
      <c r="W966" s="61"/>
      <c r="X966" s="61"/>
      <c r="Y966" s="61"/>
      <c r="Z966" s="61"/>
      <c r="AA966" s="61"/>
      <c r="AB966" s="62"/>
      <c r="AC966" s="61"/>
      <c r="AD966" s="64"/>
      <c r="AE966" s="61"/>
    </row>
    <row r="967" spans="1:31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4"/>
      <c r="U967" s="64"/>
      <c r="V967" s="62"/>
      <c r="W967" s="61"/>
      <c r="X967" s="61"/>
      <c r="Y967" s="61"/>
      <c r="Z967" s="61"/>
      <c r="AA967" s="61"/>
      <c r="AB967" s="62"/>
      <c r="AC967" s="61"/>
      <c r="AD967" s="64"/>
      <c r="AE967" s="61"/>
    </row>
    <row r="968" spans="1:31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4"/>
      <c r="U968" s="64"/>
      <c r="V968" s="62"/>
      <c r="W968" s="61"/>
      <c r="X968" s="61"/>
      <c r="Y968" s="61"/>
      <c r="Z968" s="61"/>
      <c r="AA968" s="61"/>
      <c r="AB968" s="62"/>
      <c r="AC968" s="61"/>
      <c r="AD968" s="64"/>
      <c r="AE968" s="61"/>
    </row>
    <row r="969" spans="1:31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4"/>
      <c r="U969" s="64"/>
      <c r="V969" s="62"/>
      <c r="W969" s="61"/>
      <c r="X969" s="61"/>
      <c r="Y969" s="61"/>
      <c r="Z969" s="61"/>
      <c r="AA969" s="61"/>
      <c r="AB969" s="62"/>
      <c r="AC969" s="61"/>
      <c r="AD969" s="64"/>
      <c r="AE969" s="61"/>
    </row>
    <row r="970" spans="1:31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4"/>
      <c r="U970" s="64"/>
      <c r="V970" s="62"/>
      <c r="W970" s="61"/>
      <c r="X970" s="61"/>
      <c r="Y970" s="61"/>
      <c r="Z970" s="61"/>
      <c r="AA970" s="61"/>
      <c r="AB970" s="62"/>
      <c r="AC970" s="61"/>
      <c r="AD970" s="64"/>
      <c r="AE970" s="61"/>
    </row>
    <row r="971" spans="1:3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4"/>
      <c r="U971" s="64"/>
      <c r="V971" s="62"/>
      <c r="W971" s="61"/>
      <c r="X971" s="61"/>
      <c r="Y971" s="61"/>
      <c r="Z971" s="61"/>
      <c r="AA971" s="61"/>
      <c r="AB971" s="62"/>
      <c r="AC971" s="61"/>
      <c r="AD971" s="64"/>
      <c r="AE971" s="61"/>
    </row>
    <row r="972" spans="1:31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4"/>
      <c r="U972" s="64"/>
      <c r="V972" s="62"/>
      <c r="W972" s="61"/>
      <c r="X972" s="61"/>
      <c r="Y972" s="61"/>
      <c r="Z972" s="61"/>
      <c r="AA972" s="61"/>
      <c r="AB972" s="62"/>
      <c r="AC972" s="61"/>
      <c r="AD972" s="64"/>
      <c r="AE972" s="61"/>
    </row>
    <row r="973" spans="1:31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4"/>
      <c r="U973" s="64"/>
      <c r="V973" s="62"/>
      <c r="W973" s="61"/>
      <c r="X973" s="61"/>
      <c r="Y973" s="61"/>
      <c r="Z973" s="61"/>
      <c r="AA973" s="61"/>
      <c r="AB973" s="62"/>
      <c r="AC973" s="61"/>
      <c r="AD973" s="64"/>
      <c r="AE973" s="61"/>
    </row>
    <row r="974" spans="1:31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4"/>
      <c r="U974" s="64"/>
      <c r="V974" s="62"/>
      <c r="W974" s="61"/>
      <c r="X974" s="61"/>
      <c r="Y974" s="61"/>
      <c r="Z974" s="61"/>
      <c r="AA974" s="61"/>
      <c r="AB974" s="62"/>
      <c r="AC974" s="61"/>
      <c r="AD974" s="64"/>
      <c r="AE974" s="61"/>
    </row>
    <row r="975" spans="1:31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4"/>
      <c r="U975" s="64"/>
      <c r="V975" s="62"/>
      <c r="W975" s="61"/>
      <c r="X975" s="61"/>
      <c r="Y975" s="61"/>
      <c r="Z975" s="61"/>
      <c r="AA975" s="61"/>
      <c r="AB975" s="62"/>
      <c r="AC975" s="61"/>
      <c r="AD975" s="64"/>
      <c r="AE975" s="61"/>
    </row>
    <row r="976" spans="1:31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4"/>
      <c r="U976" s="64"/>
      <c r="V976" s="62"/>
      <c r="W976" s="61"/>
      <c r="X976" s="61"/>
      <c r="Y976" s="61"/>
      <c r="Z976" s="61"/>
      <c r="AA976" s="61"/>
      <c r="AB976" s="62"/>
      <c r="AC976" s="61"/>
      <c r="AD976" s="64"/>
      <c r="AE976" s="61"/>
    </row>
    <row r="977" spans="1:31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4"/>
      <c r="U977" s="64"/>
      <c r="V977" s="62"/>
      <c r="W977" s="61"/>
      <c r="X977" s="61"/>
      <c r="Y977" s="61"/>
      <c r="Z977" s="61"/>
      <c r="AA977" s="61"/>
      <c r="AB977" s="62"/>
      <c r="AC977" s="61"/>
      <c r="AD977" s="64"/>
      <c r="AE977" s="61"/>
    </row>
    <row r="978" spans="1:31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4"/>
      <c r="U978" s="64"/>
      <c r="V978" s="62"/>
      <c r="W978" s="61"/>
      <c r="X978" s="61"/>
      <c r="Y978" s="61"/>
      <c r="Z978" s="61"/>
      <c r="AA978" s="61"/>
      <c r="AB978" s="62"/>
      <c r="AC978" s="61"/>
      <c r="AD978" s="64"/>
      <c r="AE978" s="61"/>
    </row>
    <row r="979" spans="1:31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4"/>
      <c r="U979" s="64"/>
      <c r="V979" s="62"/>
      <c r="W979" s="61"/>
      <c r="X979" s="61"/>
      <c r="Y979" s="61"/>
      <c r="Z979" s="61"/>
      <c r="AA979" s="61"/>
      <c r="AB979" s="62"/>
      <c r="AC979" s="61"/>
      <c r="AD979" s="64"/>
      <c r="AE979" s="61"/>
    </row>
    <row r="980" spans="1:31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4"/>
      <c r="U980" s="64"/>
      <c r="V980" s="62"/>
      <c r="W980" s="61"/>
      <c r="X980" s="61"/>
      <c r="Y980" s="61"/>
      <c r="Z980" s="61"/>
      <c r="AA980" s="61"/>
      <c r="AB980" s="62"/>
      <c r="AC980" s="61"/>
      <c r="AD980" s="64"/>
      <c r="AE980" s="61"/>
    </row>
    <row r="981" spans="1:3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4"/>
      <c r="U981" s="64"/>
      <c r="V981" s="62"/>
      <c r="W981" s="61"/>
      <c r="X981" s="61"/>
      <c r="Y981" s="61"/>
      <c r="Z981" s="61"/>
      <c r="AA981" s="61"/>
      <c r="AB981" s="62"/>
      <c r="AC981" s="61"/>
      <c r="AD981" s="64"/>
      <c r="AE981" s="61"/>
    </row>
    <row r="982" spans="1:31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4"/>
      <c r="U982" s="64"/>
      <c r="V982" s="62"/>
      <c r="W982" s="61"/>
      <c r="X982" s="61"/>
      <c r="Y982" s="61"/>
      <c r="Z982" s="61"/>
      <c r="AA982" s="61"/>
      <c r="AB982" s="62"/>
      <c r="AC982" s="61"/>
      <c r="AD982" s="64"/>
      <c r="AE982" s="61"/>
    </row>
    <row r="983" spans="1:31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4"/>
      <c r="U983" s="64"/>
      <c r="V983" s="62"/>
      <c r="W983" s="61"/>
      <c r="X983" s="61"/>
      <c r="Y983" s="61"/>
      <c r="Z983" s="61"/>
      <c r="AA983" s="61"/>
      <c r="AB983" s="62"/>
      <c r="AC983" s="61"/>
      <c r="AD983" s="64"/>
      <c r="AE983" s="61"/>
    </row>
    <row r="984" spans="1:31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4"/>
      <c r="U984" s="64"/>
      <c r="V984" s="62"/>
      <c r="W984" s="61"/>
      <c r="X984" s="61"/>
      <c r="Y984" s="61"/>
      <c r="Z984" s="61"/>
      <c r="AA984" s="61"/>
      <c r="AB984" s="62"/>
      <c r="AC984" s="61"/>
      <c r="AD984" s="64"/>
      <c r="AE984" s="61"/>
    </row>
    <row r="985" spans="1:31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4"/>
      <c r="U985" s="64"/>
      <c r="V985" s="62"/>
      <c r="W985" s="61"/>
      <c r="X985" s="61"/>
      <c r="Y985" s="61"/>
      <c r="Z985" s="61"/>
      <c r="AA985" s="61"/>
      <c r="AB985" s="62"/>
      <c r="AC985" s="61"/>
      <c r="AD985" s="64"/>
      <c r="AE985" s="61"/>
    </row>
    <row r="986" spans="1:31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4"/>
      <c r="U986" s="64"/>
      <c r="V986" s="62"/>
      <c r="W986" s="61"/>
      <c r="X986" s="61"/>
      <c r="Y986" s="61"/>
      <c r="Z986" s="61"/>
      <c r="AA986" s="61"/>
      <c r="AB986" s="62"/>
      <c r="AC986" s="61"/>
      <c r="AD986" s="64"/>
      <c r="AE986" s="61"/>
    </row>
    <row r="987" spans="1:31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4"/>
      <c r="U987" s="64"/>
      <c r="V987" s="62"/>
      <c r="W987" s="61"/>
      <c r="X987" s="61"/>
      <c r="Y987" s="61"/>
      <c r="Z987" s="61"/>
      <c r="AA987" s="61"/>
      <c r="AB987" s="62"/>
      <c r="AC987" s="61"/>
      <c r="AD987" s="64"/>
      <c r="AE987" s="61"/>
    </row>
    <row r="988" spans="1:31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4"/>
      <c r="U988" s="64"/>
      <c r="V988" s="62"/>
      <c r="W988" s="61"/>
      <c r="X988" s="61"/>
      <c r="Y988" s="61"/>
      <c r="Z988" s="61"/>
      <c r="AA988" s="61"/>
      <c r="AB988" s="62"/>
      <c r="AC988" s="61"/>
      <c r="AD988" s="64"/>
      <c r="AE988" s="61"/>
    </row>
    <row r="989" spans="1:31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4"/>
      <c r="U989" s="64"/>
      <c r="V989" s="62"/>
      <c r="W989" s="61"/>
      <c r="X989" s="61"/>
      <c r="Y989" s="61"/>
      <c r="Z989" s="61"/>
      <c r="AA989" s="61"/>
      <c r="AB989" s="62"/>
      <c r="AC989" s="61"/>
      <c r="AD989" s="64"/>
      <c r="AE989" s="61"/>
    </row>
    <row r="990" spans="1:31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4"/>
      <c r="U990" s="64"/>
      <c r="V990" s="62"/>
      <c r="W990" s="61"/>
      <c r="X990" s="61"/>
      <c r="Y990" s="61"/>
      <c r="Z990" s="61"/>
      <c r="AA990" s="61"/>
      <c r="AB990" s="62"/>
      <c r="AC990" s="61"/>
      <c r="AD990" s="64"/>
      <c r="AE990" s="61"/>
    </row>
    <row r="991" spans="1:3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4"/>
      <c r="U991" s="64"/>
      <c r="V991" s="62"/>
      <c r="W991" s="61"/>
      <c r="X991" s="61"/>
      <c r="Y991" s="61"/>
      <c r="Z991" s="61"/>
      <c r="AA991" s="61"/>
      <c r="AB991" s="62"/>
      <c r="AC991" s="61"/>
      <c r="AD991" s="64"/>
      <c r="AE991" s="61"/>
    </row>
    <row r="992" spans="1:31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4"/>
      <c r="U992" s="64"/>
      <c r="V992" s="62"/>
      <c r="W992" s="61"/>
      <c r="X992" s="61"/>
      <c r="Y992" s="61"/>
      <c r="Z992" s="61"/>
      <c r="AA992" s="61"/>
      <c r="AB992" s="62"/>
      <c r="AC992" s="61"/>
      <c r="AD992" s="64"/>
      <c r="AE992" s="61"/>
    </row>
    <row r="993" spans="1:31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4"/>
      <c r="U993" s="64"/>
      <c r="V993" s="62"/>
      <c r="W993" s="61"/>
      <c r="X993" s="61"/>
      <c r="Y993" s="61"/>
      <c r="Z993" s="61"/>
      <c r="AA993" s="61"/>
      <c r="AB993" s="62"/>
      <c r="AC993" s="61"/>
      <c r="AD993" s="64"/>
      <c r="AE993" s="61"/>
    </row>
    <row r="994" spans="1:31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4"/>
      <c r="U994" s="64"/>
      <c r="V994" s="62"/>
      <c r="W994" s="61"/>
      <c r="X994" s="61"/>
      <c r="Y994" s="61"/>
      <c r="Z994" s="61"/>
      <c r="AA994" s="61"/>
      <c r="AB994" s="62"/>
      <c r="AC994" s="61"/>
      <c r="AD994" s="64"/>
      <c r="AE994" s="61"/>
    </row>
    <row r="995" spans="1:31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4"/>
      <c r="U995" s="64"/>
      <c r="V995" s="62"/>
      <c r="W995" s="61"/>
      <c r="X995" s="61"/>
      <c r="Y995" s="61"/>
      <c r="Z995" s="61"/>
      <c r="AA995" s="61"/>
      <c r="AB995" s="62"/>
      <c r="AC995" s="61"/>
      <c r="AD995" s="64"/>
      <c r="AE995" s="61"/>
    </row>
    <row r="996" spans="1:31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4"/>
      <c r="U996" s="64"/>
      <c r="V996" s="62"/>
      <c r="W996" s="61"/>
      <c r="X996" s="61"/>
      <c r="Y996" s="61"/>
      <c r="Z996" s="61"/>
      <c r="AA996" s="61"/>
      <c r="AB996" s="62"/>
      <c r="AC996" s="61"/>
      <c r="AD996" s="64"/>
      <c r="AE996" s="61"/>
    </row>
    <row r="997" spans="1:31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4"/>
      <c r="U997" s="64"/>
      <c r="V997" s="62"/>
      <c r="W997" s="61"/>
      <c r="X997" s="61"/>
      <c r="Y997" s="61"/>
      <c r="Z997" s="61"/>
      <c r="AA997" s="61"/>
      <c r="AB997" s="62"/>
      <c r="AC997" s="61"/>
      <c r="AD997" s="64"/>
      <c r="AE997" s="61"/>
    </row>
    <row r="998" spans="1:31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4"/>
      <c r="U998" s="64"/>
      <c r="V998" s="62"/>
      <c r="W998" s="61"/>
      <c r="X998" s="61"/>
      <c r="Y998" s="61"/>
      <c r="Z998" s="61"/>
      <c r="AA998" s="61"/>
      <c r="AB998" s="62"/>
      <c r="AC998" s="61"/>
      <c r="AD998" s="64"/>
      <c r="AE998" s="61"/>
    </row>
    <row r="999" spans="1:31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4"/>
      <c r="U999" s="64"/>
      <c r="V999" s="62"/>
      <c r="W999" s="61"/>
      <c r="X999" s="61"/>
      <c r="Y999" s="61"/>
      <c r="Z999" s="61"/>
      <c r="AA999" s="61"/>
      <c r="AB999" s="62"/>
      <c r="AC999" s="61"/>
      <c r="AD999" s="64"/>
      <c r="AE999" s="61"/>
    </row>
    <row r="1000" spans="1:31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4"/>
      <c r="U1000" s="64"/>
      <c r="V1000" s="62"/>
      <c r="W1000" s="61"/>
      <c r="X1000" s="61"/>
      <c r="Y1000" s="61"/>
      <c r="Z1000" s="61"/>
      <c r="AA1000" s="61"/>
      <c r="AB1000" s="62"/>
      <c r="AC1000" s="61"/>
      <c r="AD1000" s="64"/>
      <c r="AE1000" s="61"/>
    </row>
  </sheetData>
  <mergeCells count="2">
    <mergeCell ref="D2:F2"/>
    <mergeCell ref="C6:Z6"/>
  </mergeCells>
  <conditionalFormatting sqref="U8:V14">
    <cfRule type="cellIs" dxfId="4" priority="1" operator="lessThanOrEqual">
      <formula>1</formula>
    </cfRule>
  </conditionalFormatting>
  <conditionalFormatting sqref="V8:V14">
    <cfRule type="cellIs" dxfId="3" priority="2" operator="equal">
      <formula>"SIN GARANTIA"</formula>
    </cfRule>
    <cfRule type="cellIs" dxfId="2" priority="3" operator="equal">
      <formula>"CON GARANTIA"</formula>
    </cfRule>
  </conditionalFormatting>
  <conditionalFormatting sqref="W8:W14">
    <cfRule type="cellIs" dxfId="1" priority="4" operator="equal">
      <formula>"OPERATIVO"</formula>
    </cfRule>
    <cfRule type="cellIs" dxfId="0" priority="5" operator="equal">
      <formula>"INOPERATIVO"</formula>
    </cfRule>
  </conditionalFormatting>
  <pageMargins left="0.7" right="0.7" top="0.75" bottom="0.75" header="0" footer="0"/>
  <pageSetup orientation="portrait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showGridLines="0" workbookViewId="0"/>
  </sheetViews>
  <sheetFormatPr defaultColWidth="14.42578125" defaultRowHeight="15" customHeight="1"/>
  <cols>
    <col min="1" max="1" width="1.140625" customWidth="1"/>
    <col min="2" max="2" width="6.5703125" customWidth="1"/>
    <col min="3" max="3" width="14" customWidth="1"/>
    <col min="4" max="4" width="14.28515625" customWidth="1"/>
    <col min="5" max="5" width="10.85546875" customWidth="1"/>
    <col min="6" max="6" width="11.42578125" customWidth="1"/>
    <col min="7" max="7" width="15.28515625" customWidth="1"/>
    <col min="8" max="8" width="13.140625" customWidth="1"/>
    <col min="9" max="9" width="8.5703125" customWidth="1"/>
    <col min="10" max="10" width="14.42578125" customWidth="1"/>
    <col min="11" max="11" width="13.42578125" customWidth="1"/>
    <col min="12" max="12" width="14.5703125" customWidth="1"/>
    <col min="13" max="13" width="16.5703125" customWidth="1"/>
    <col min="14" max="14" width="13" customWidth="1"/>
    <col min="15" max="15" width="11.42578125" customWidth="1"/>
    <col min="16" max="16" width="19.28515625" customWidth="1"/>
    <col min="17" max="17" width="13.5703125" customWidth="1"/>
    <col min="18" max="19" width="14.42578125" customWidth="1"/>
    <col min="20" max="20" width="19.85546875" customWidth="1"/>
    <col min="21" max="26" width="11.42578125" customWidth="1"/>
  </cols>
  <sheetData>
    <row r="1" spans="1:26" ht="14.4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7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21">
      <c r="A2" s="53"/>
      <c r="B2" s="53"/>
      <c r="C2" s="53"/>
      <c r="D2" s="240" t="s">
        <v>610</v>
      </c>
      <c r="E2" s="250"/>
      <c r="F2" s="250"/>
      <c r="G2" s="250"/>
      <c r="H2" s="53"/>
      <c r="I2" s="53"/>
      <c r="J2" s="53"/>
      <c r="K2" s="53"/>
      <c r="L2" s="53"/>
      <c r="M2" s="57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4.45">
      <c r="A3" s="53"/>
      <c r="B3" s="241"/>
      <c r="C3" s="250"/>
      <c r="D3" s="250"/>
      <c r="E3" s="250"/>
      <c r="F3" s="53"/>
      <c r="G3" s="53"/>
      <c r="H3" s="53"/>
      <c r="I3" s="53"/>
      <c r="J3" s="53"/>
      <c r="K3" s="53"/>
      <c r="L3" s="53"/>
      <c r="M3" s="53"/>
      <c r="N3" s="53"/>
      <c r="O3" s="57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4.45">
      <c r="A4" s="53"/>
      <c r="B4" s="60">
        <v>1</v>
      </c>
      <c r="C4" s="60">
        <v>2</v>
      </c>
      <c r="D4" s="60">
        <v>3</v>
      </c>
      <c r="E4" s="60">
        <v>4</v>
      </c>
      <c r="F4" s="60">
        <v>5</v>
      </c>
      <c r="G4" s="60">
        <v>6</v>
      </c>
      <c r="H4" s="60">
        <v>7</v>
      </c>
      <c r="I4" s="60">
        <v>8</v>
      </c>
      <c r="J4" s="60">
        <v>9</v>
      </c>
      <c r="K4" s="60">
        <v>10</v>
      </c>
      <c r="L4" s="60">
        <v>11</v>
      </c>
      <c r="M4" s="60">
        <v>12</v>
      </c>
      <c r="N4" s="60">
        <v>13</v>
      </c>
      <c r="O4" s="60">
        <v>14</v>
      </c>
      <c r="P4" s="60">
        <v>15</v>
      </c>
      <c r="Q4" s="60">
        <v>16</v>
      </c>
      <c r="R4" s="60">
        <v>17</v>
      </c>
      <c r="S4" s="60"/>
      <c r="T4" s="60">
        <v>18</v>
      </c>
      <c r="U4" s="53"/>
      <c r="V4" s="53"/>
      <c r="W4" s="53"/>
      <c r="X4" s="53"/>
      <c r="Y4" s="53"/>
      <c r="Z4" s="53"/>
    </row>
    <row r="5" spans="1:26" ht="15" customHeight="1">
      <c r="A5" s="57"/>
      <c r="B5" s="100" t="s">
        <v>611</v>
      </c>
      <c r="C5" s="242" t="s">
        <v>528</v>
      </c>
      <c r="D5" s="253"/>
      <c r="E5" s="253"/>
      <c r="F5" s="253"/>
      <c r="G5" s="253"/>
      <c r="H5" s="253"/>
      <c r="I5" s="253"/>
      <c r="J5" s="254"/>
      <c r="K5" s="243" t="s">
        <v>612</v>
      </c>
      <c r="L5" s="255"/>
      <c r="M5" s="255"/>
      <c r="N5" s="255"/>
      <c r="O5" s="255"/>
      <c r="P5" s="256"/>
      <c r="Q5" s="244" t="s">
        <v>613</v>
      </c>
      <c r="R5" s="253"/>
      <c r="S5" s="253"/>
      <c r="T5" s="253"/>
      <c r="U5" s="57"/>
      <c r="V5" s="57"/>
      <c r="W5" s="57"/>
      <c r="X5" s="57"/>
      <c r="Y5" s="57"/>
      <c r="Z5" s="57"/>
    </row>
    <row r="6" spans="1:26" ht="21.75" customHeight="1">
      <c r="A6" s="53"/>
      <c r="B6" s="101" t="s">
        <v>44</v>
      </c>
      <c r="C6" s="108" t="s">
        <v>614</v>
      </c>
      <c r="D6" s="108" t="s">
        <v>615</v>
      </c>
      <c r="E6" s="108" t="s">
        <v>56</v>
      </c>
      <c r="F6" s="108" t="s">
        <v>62</v>
      </c>
      <c r="G6" s="108" t="s">
        <v>58</v>
      </c>
      <c r="H6" s="108" t="s">
        <v>616</v>
      </c>
      <c r="I6" s="108" t="s">
        <v>64</v>
      </c>
      <c r="J6" s="108" t="s">
        <v>617</v>
      </c>
      <c r="K6" s="108" t="s">
        <v>49</v>
      </c>
      <c r="L6" s="108" t="s">
        <v>618</v>
      </c>
      <c r="M6" s="108" t="s">
        <v>619</v>
      </c>
      <c r="N6" s="108" t="s">
        <v>620</v>
      </c>
      <c r="O6" s="108" t="s">
        <v>621</v>
      </c>
      <c r="P6" s="108" t="s">
        <v>622</v>
      </c>
      <c r="Q6" s="108" t="s">
        <v>623</v>
      </c>
      <c r="R6" s="108" t="s">
        <v>556</v>
      </c>
      <c r="S6" s="108" t="s">
        <v>624</v>
      </c>
      <c r="T6" s="101" t="s">
        <v>625</v>
      </c>
      <c r="U6" s="53"/>
      <c r="V6" s="53"/>
      <c r="W6" s="53"/>
      <c r="X6" s="53"/>
      <c r="Y6" s="53"/>
      <c r="Z6" s="53"/>
    </row>
    <row r="7" spans="1:26" ht="12.75" customHeight="1">
      <c r="A7" s="112"/>
      <c r="B7" s="113">
        <v>1</v>
      </c>
      <c r="C7" s="114"/>
      <c r="D7" s="115" t="s">
        <v>26</v>
      </c>
      <c r="E7" s="116" t="s">
        <v>606</v>
      </c>
      <c r="F7" s="78" t="s">
        <v>607</v>
      </c>
      <c r="G7" s="117" t="s">
        <v>608</v>
      </c>
      <c r="H7" s="117"/>
      <c r="I7" s="117"/>
      <c r="J7" s="118"/>
      <c r="K7" s="113" t="s">
        <v>626</v>
      </c>
      <c r="L7" s="119"/>
      <c r="M7" s="78" t="s">
        <v>627</v>
      </c>
      <c r="N7" s="78" t="s">
        <v>627</v>
      </c>
      <c r="O7" s="78" t="s">
        <v>628</v>
      </c>
      <c r="P7" s="78" t="s">
        <v>629</v>
      </c>
      <c r="Q7" s="120"/>
      <c r="R7" s="120"/>
      <c r="S7" s="120" t="s">
        <v>601</v>
      </c>
      <c r="T7" s="121"/>
      <c r="U7" s="112"/>
      <c r="V7" s="112"/>
      <c r="W7" s="112"/>
      <c r="X7" s="112"/>
      <c r="Y7" s="112"/>
      <c r="Z7" s="112"/>
    </row>
    <row r="8" spans="1:26" ht="14.45">
      <c r="A8" s="63"/>
      <c r="B8" s="106">
        <v>2</v>
      </c>
      <c r="C8" s="111"/>
      <c r="D8" s="109" t="s">
        <v>558</v>
      </c>
      <c r="E8" s="107" t="s">
        <v>559</v>
      </c>
      <c r="F8" s="68" t="s">
        <v>560</v>
      </c>
      <c r="G8" s="75" t="s">
        <v>561</v>
      </c>
      <c r="H8" s="66"/>
      <c r="I8" s="75"/>
      <c r="J8" s="92"/>
      <c r="K8" s="106" t="s">
        <v>626</v>
      </c>
      <c r="L8" s="75" t="s">
        <v>562</v>
      </c>
      <c r="M8" s="105" t="s">
        <v>627</v>
      </c>
      <c r="N8" s="105" t="s">
        <v>627</v>
      </c>
      <c r="O8" s="105" t="s">
        <v>628</v>
      </c>
      <c r="P8" s="105" t="s">
        <v>629</v>
      </c>
      <c r="Q8" s="104"/>
      <c r="R8" s="104"/>
      <c r="S8" s="104" t="s">
        <v>580</v>
      </c>
      <c r="T8" s="105">
        <v>222</v>
      </c>
      <c r="U8" s="63"/>
      <c r="V8" s="63"/>
      <c r="W8" s="63"/>
      <c r="X8" s="63"/>
      <c r="Y8" s="63"/>
      <c r="Z8" s="63"/>
    </row>
    <row r="9" spans="1:26" ht="14.45">
      <c r="A9" s="61"/>
      <c r="B9" s="106">
        <v>3</v>
      </c>
      <c r="C9" s="111"/>
      <c r="D9" s="110" t="s">
        <v>558</v>
      </c>
      <c r="E9" s="77" t="s">
        <v>559</v>
      </c>
      <c r="F9" s="68" t="s">
        <v>563</v>
      </c>
      <c r="G9" s="68" t="s">
        <v>564</v>
      </c>
      <c r="H9" s="68"/>
      <c r="I9" s="68"/>
      <c r="J9" s="71"/>
      <c r="K9" s="106" t="s">
        <v>626</v>
      </c>
      <c r="L9" s="68" t="s">
        <v>565</v>
      </c>
      <c r="M9" s="105" t="s">
        <v>627</v>
      </c>
      <c r="N9" s="105" t="s">
        <v>627</v>
      </c>
      <c r="O9" s="105" t="s">
        <v>628</v>
      </c>
      <c r="P9" s="105" t="s">
        <v>629</v>
      </c>
      <c r="Q9" s="104"/>
      <c r="R9" s="104"/>
      <c r="S9" s="104" t="s">
        <v>580</v>
      </c>
      <c r="T9" s="105">
        <v>227</v>
      </c>
      <c r="U9" s="61"/>
      <c r="V9" s="61"/>
      <c r="W9" s="61"/>
      <c r="X9" s="61"/>
      <c r="Y9" s="61"/>
      <c r="Z9" s="61"/>
    </row>
    <row r="10" spans="1:26" ht="14.45">
      <c r="A10" s="61"/>
      <c r="B10" s="106">
        <v>4</v>
      </c>
      <c r="C10" s="111"/>
      <c r="D10" s="110" t="s">
        <v>558</v>
      </c>
      <c r="E10" s="77" t="s">
        <v>559</v>
      </c>
      <c r="F10" s="68" t="s">
        <v>566</v>
      </c>
      <c r="G10" s="68" t="s">
        <v>567</v>
      </c>
      <c r="H10" s="68"/>
      <c r="I10" s="68"/>
      <c r="J10" s="71"/>
      <c r="K10" s="106" t="s">
        <v>626</v>
      </c>
      <c r="L10" s="68" t="s">
        <v>568</v>
      </c>
      <c r="M10" s="105" t="s">
        <v>627</v>
      </c>
      <c r="N10" s="105" t="s">
        <v>627</v>
      </c>
      <c r="O10" s="105" t="s">
        <v>628</v>
      </c>
      <c r="P10" s="105" t="s">
        <v>629</v>
      </c>
      <c r="Q10" s="104"/>
      <c r="R10" s="104"/>
      <c r="S10" s="104" t="s">
        <v>580</v>
      </c>
      <c r="T10" s="105">
        <v>215</v>
      </c>
      <c r="U10" s="61"/>
      <c r="V10" s="61"/>
      <c r="W10" s="61"/>
      <c r="X10" s="61"/>
      <c r="Y10" s="61"/>
      <c r="Z10" s="61"/>
    </row>
    <row r="11" spans="1:26" ht="14.45">
      <c r="A11" s="61"/>
      <c r="B11" s="106">
        <v>5</v>
      </c>
      <c r="C11" s="77"/>
      <c r="D11" s="111"/>
      <c r="E11" s="77"/>
      <c r="F11" s="68"/>
      <c r="G11" s="68"/>
      <c r="H11" s="68"/>
      <c r="I11" s="68"/>
      <c r="J11" s="71"/>
      <c r="K11" s="106"/>
      <c r="L11" s="68"/>
      <c r="M11" s="104"/>
      <c r="N11" s="104"/>
      <c r="O11" s="104"/>
      <c r="P11" s="104"/>
      <c r="Q11" s="104"/>
      <c r="R11" s="104"/>
      <c r="S11" s="104"/>
      <c r="T11" s="105"/>
      <c r="U11" s="61"/>
      <c r="V11" s="61"/>
      <c r="W11" s="61"/>
      <c r="X11" s="61"/>
      <c r="Y11" s="61"/>
      <c r="Z11" s="61"/>
    </row>
    <row r="12" spans="1:26" ht="14.45">
      <c r="A12" s="61"/>
      <c r="B12" s="106">
        <v>6</v>
      </c>
      <c r="C12" s="77"/>
      <c r="D12" s="111"/>
      <c r="E12" s="77"/>
      <c r="F12" s="68"/>
      <c r="G12" s="68"/>
      <c r="H12" s="68"/>
      <c r="I12" s="68"/>
      <c r="J12" s="71"/>
      <c r="K12" s="106"/>
      <c r="L12" s="68"/>
      <c r="M12" s="104"/>
      <c r="N12" s="104"/>
      <c r="O12" s="104"/>
      <c r="P12" s="104"/>
      <c r="Q12" s="104"/>
      <c r="R12" s="104"/>
      <c r="S12" s="104"/>
      <c r="T12" s="105"/>
      <c r="U12" s="61"/>
      <c r="V12" s="61"/>
      <c r="W12" s="61"/>
      <c r="X12" s="61"/>
      <c r="Y12" s="61"/>
      <c r="Z12" s="61"/>
    </row>
    <row r="13" spans="1:26" ht="14.45">
      <c r="A13" s="61"/>
      <c r="B13" s="106">
        <v>7</v>
      </c>
      <c r="C13" s="77"/>
      <c r="D13" s="111"/>
      <c r="E13" s="77"/>
      <c r="F13" s="68"/>
      <c r="G13" s="68"/>
      <c r="H13" s="68"/>
      <c r="I13" s="68"/>
      <c r="J13" s="71"/>
      <c r="K13" s="106"/>
      <c r="L13" s="68"/>
      <c r="M13" s="104"/>
      <c r="N13" s="104"/>
      <c r="O13" s="104"/>
      <c r="P13" s="104"/>
      <c r="Q13" s="104"/>
      <c r="R13" s="104"/>
      <c r="S13" s="104"/>
      <c r="T13" s="105"/>
      <c r="U13" s="61"/>
      <c r="V13" s="61"/>
      <c r="W13" s="61"/>
      <c r="X13" s="61"/>
      <c r="Y13" s="61"/>
      <c r="Z13" s="61"/>
    </row>
    <row r="14" spans="1:26" ht="14.45">
      <c r="A14" s="61"/>
      <c r="B14" s="106">
        <v>8</v>
      </c>
      <c r="C14" s="77"/>
      <c r="D14" s="77"/>
      <c r="E14" s="77"/>
      <c r="F14" s="68"/>
      <c r="G14" s="68"/>
      <c r="H14" s="68"/>
      <c r="I14" s="68"/>
      <c r="J14" s="71"/>
      <c r="K14" s="106"/>
      <c r="L14" s="68"/>
      <c r="M14" s="104"/>
      <c r="N14" s="104"/>
      <c r="O14" s="104"/>
      <c r="P14" s="104"/>
      <c r="Q14" s="104"/>
      <c r="R14" s="104"/>
      <c r="S14" s="104"/>
      <c r="T14" s="105"/>
      <c r="U14" s="61"/>
      <c r="V14" s="61"/>
      <c r="W14" s="61"/>
      <c r="X14" s="61"/>
      <c r="Y14" s="61"/>
      <c r="Z14" s="61"/>
    </row>
    <row r="15" spans="1:26" ht="14.45">
      <c r="A15" s="61"/>
      <c r="B15" s="106">
        <v>9</v>
      </c>
      <c r="C15" s="77"/>
      <c r="D15" s="77"/>
      <c r="E15" s="77"/>
      <c r="F15" s="68"/>
      <c r="G15" s="68"/>
      <c r="H15" s="68"/>
      <c r="I15" s="68"/>
      <c r="J15" s="71"/>
      <c r="K15" s="106"/>
      <c r="L15" s="68"/>
      <c r="M15" s="104"/>
      <c r="N15" s="104"/>
      <c r="O15" s="104"/>
      <c r="P15" s="104"/>
      <c r="Q15" s="104"/>
      <c r="R15" s="104"/>
      <c r="S15" s="104"/>
      <c r="T15" s="105"/>
      <c r="U15" s="61"/>
      <c r="V15" s="61"/>
      <c r="W15" s="61"/>
      <c r="X15" s="61"/>
      <c r="Y15" s="61"/>
      <c r="Z15" s="61"/>
    </row>
    <row r="16" spans="1:26" ht="14.45">
      <c r="A16" s="61"/>
      <c r="B16" s="106">
        <v>10</v>
      </c>
      <c r="C16" s="77"/>
      <c r="D16" s="77"/>
      <c r="E16" s="77"/>
      <c r="F16" s="68"/>
      <c r="G16" s="68"/>
      <c r="H16" s="68"/>
      <c r="I16" s="68"/>
      <c r="J16" s="71"/>
      <c r="K16" s="106"/>
      <c r="L16" s="68"/>
      <c r="M16" s="104"/>
      <c r="N16" s="104"/>
      <c r="O16" s="104"/>
      <c r="P16" s="104"/>
      <c r="Q16" s="104"/>
      <c r="R16" s="104"/>
      <c r="S16" s="104"/>
      <c r="T16" s="105"/>
      <c r="U16" s="61"/>
      <c r="V16" s="61"/>
      <c r="W16" s="61"/>
      <c r="X16" s="61"/>
      <c r="Y16" s="61"/>
      <c r="Z16" s="61"/>
    </row>
    <row r="17" spans="1:26" ht="14.45">
      <c r="A17" s="61"/>
      <c r="B17" s="106">
        <v>11</v>
      </c>
      <c r="C17" s="77"/>
      <c r="D17" s="77"/>
      <c r="E17" s="77"/>
      <c r="F17" s="68"/>
      <c r="G17" s="68"/>
      <c r="H17" s="68"/>
      <c r="I17" s="68"/>
      <c r="J17" s="71"/>
      <c r="K17" s="106"/>
      <c r="L17" s="68"/>
      <c r="M17" s="104"/>
      <c r="N17" s="104"/>
      <c r="O17" s="104"/>
      <c r="P17" s="104"/>
      <c r="Q17" s="104"/>
      <c r="R17" s="104"/>
      <c r="S17" s="104"/>
      <c r="T17" s="105"/>
      <c r="U17" s="61"/>
      <c r="V17" s="61"/>
      <c r="W17" s="61"/>
      <c r="X17" s="61"/>
      <c r="Y17" s="61"/>
      <c r="Z17" s="61"/>
    </row>
    <row r="18" spans="1:26" ht="14.45">
      <c r="A18" s="61"/>
      <c r="B18" s="106">
        <v>12</v>
      </c>
      <c r="C18" s="77"/>
      <c r="D18" s="77"/>
      <c r="E18" s="77"/>
      <c r="F18" s="68"/>
      <c r="G18" s="68"/>
      <c r="H18" s="68"/>
      <c r="I18" s="68"/>
      <c r="J18" s="71"/>
      <c r="K18" s="106"/>
      <c r="L18" s="68"/>
      <c r="M18" s="104"/>
      <c r="N18" s="104"/>
      <c r="O18" s="104"/>
      <c r="P18" s="104"/>
      <c r="Q18" s="104"/>
      <c r="R18" s="104"/>
      <c r="S18" s="104"/>
      <c r="T18" s="105"/>
      <c r="U18" s="61"/>
      <c r="V18" s="61"/>
      <c r="W18" s="61"/>
      <c r="X18" s="61"/>
      <c r="Y18" s="61"/>
      <c r="Z18" s="61"/>
    </row>
    <row r="19" spans="1:26" ht="14.45">
      <c r="A19" s="61"/>
      <c r="B19" s="106">
        <v>13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61"/>
      <c r="V19" s="61"/>
      <c r="W19" s="61"/>
      <c r="X19" s="61"/>
      <c r="Y19" s="61"/>
      <c r="Z19" s="61"/>
    </row>
    <row r="20" spans="1:26" ht="14.45">
      <c r="A20" s="61"/>
      <c r="B20" s="106">
        <v>14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61"/>
      <c r="V20" s="61"/>
      <c r="W20" s="61"/>
      <c r="X20" s="61"/>
      <c r="Y20" s="61"/>
      <c r="Z20" s="61"/>
    </row>
    <row r="21" spans="1:26" ht="15.75" customHeight="1">
      <c r="A21" s="61"/>
      <c r="B21" s="106">
        <v>15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61"/>
      <c r="V21" s="61"/>
      <c r="W21" s="61"/>
      <c r="X21" s="61"/>
      <c r="Y21" s="61"/>
      <c r="Z21" s="61"/>
    </row>
    <row r="22" spans="1:26" ht="15.75" customHeight="1">
      <c r="A22" s="61"/>
      <c r="B22" s="106">
        <v>16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61"/>
      <c r="V22" s="61"/>
      <c r="W22" s="61"/>
      <c r="X22" s="61"/>
      <c r="Y22" s="61"/>
      <c r="Z22" s="61"/>
    </row>
    <row r="23" spans="1:26" ht="15.75" customHeight="1">
      <c r="A23" s="61"/>
      <c r="B23" s="106">
        <v>17</v>
      </c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61"/>
      <c r="V23" s="61"/>
      <c r="W23" s="61"/>
      <c r="X23" s="61"/>
      <c r="Y23" s="61"/>
      <c r="Z23" s="61"/>
    </row>
    <row r="24" spans="1:26" ht="15.75" customHeight="1">
      <c r="A24" s="61"/>
      <c r="B24" s="106">
        <v>18</v>
      </c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61"/>
      <c r="V24" s="61"/>
      <c r="W24" s="61"/>
      <c r="X24" s="61"/>
      <c r="Y24" s="61"/>
      <c r="Z24" s="61"/>
    </row>
    <row r="25" spans="1:26" ht="15.75" customHeight="1">
      <c r="A25" s="61"/>
      <c r="B25" s="106">
        <v>19</v>
      </c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61"/>
      <c r="V25" s="61"/>
      <c r="W25" s="61"/>
      <c r="X25" s="61"/>
      <c r="Y25" s="61"/>
      <c r="Z25" s="61"/>
    </row>
    <row r="26" spans="1:26" ht="15.75" customHeight="1">
      <c r="A26" s="61"/>
      <c r="B26" s="106">
        <v>20</v>
      </c>
      <c r="C26" s="77"/>
      <c r="D26" s="77"/>
      <c r="E26" s="77"/>
      <c r="F26" s="68"/>
      <c r="G26" s="68"/>
      <c r="H26" s="68"/>
      <c r="I26" s="68"/>
      <c r="J26" s="71"/>
      <c r="K26" s="106"/>
      <c r="L26" s="68"/>
      <c r="M26" s="104"/>
      <c r="N26" s="104"/>
      <c r="O26" s="104"/>
      <c r="P26" s="104"/>
      <c r="Q26" s="104"/>
      <c r="R26" s="104"/>
      <c r="S26" s="104"/>
      <c r="T26" s="105"/>
      <c r="U26" s="61"/>
      <c r="V26" s="61"/>
      <c r="W26" s="61"/>
      <c r="X26" s="61"/>
      <c r="Y26" s="61"/>
      <c r="Z26" s="61"/>
    </row>
    <row r="27" spans="1:26" ht="15.75" customHeight="1">
      <c r="A27" s="61"/>
      <c r="B27" s="106">
        <v>21</v>
      </c>
      <c r="C27" s="77"/>
      <c r="D27" s="77"/>
      <c r="E27" s="77"/>
      <c r="F27" s="68"/>
      <c r="G27" s="68"/>
      <c r="H27" s="68"/>
      <c r="I27" s="68"/>
      <c r="J27" s="71"/>
      <c r="K27" s="106"/>
      <c r="L27" s="68"/>
      <c r="M27" s="104"/>
      <c r="N27" s="104"/>
      <c r="O27" s="104"/>
      <c r="P27" s="104"/>
      <c r="Q27" s="104"/>
      <c r="R27" s="104"/>
      <c r="S27" s="104"/>
      <c r="T27" s="105"/>
      <c r="U27" s="61"/>
      <c r="V27" s="61"/>
      <c r="W27" s="61"/>
      <c r="X27" s="61"/>
      <c r="Y27" s="61"/>
      <c r="Z27" s="61"/>
    </row>
    <row r="28" spans="1:26" ht="15.75" customHeight="1">
      <c r="A28" s="61"/>
      <c r="B28" s="106">
        <v>22</v>
      </c>
      <c r="C28" s="77"/>
      <c r="D28" s="77"/>
      <c r="E28" s="77"/>
      <c r="F28" s="68"/>
      <c r="G28" s="68"/>
      <c r="H28" s="68"/>
      <c r="I28" s="68"/>
      <c r="J28" s="71"/>
      <c r="K28" s="106"/>
      <c r="L28" s="68"/>
      <c r="M28" s="104"/>
      <c r="N28" s="104"/>
      <c r="O28" s="104"/>
      <c r="P28" s="104"/>
      <c r="Q28" s="104"/>
      <c r="R28" s="104"/>
      <c r="S28" s="104"/>
      <c r="T28" s="105"/>
      <c r="U28" s="61"/>
      <c r="V28" s="61"/>
      <c r="W28" s="61"/>
      <c r="X28" s="61"/>
      <c r="Y28" s="61"/>
      <c r="Z28" s="61"/>
    </row>
    <row r="29" spans="1:26" ht="15.75" customHeight="1">
      <c r="A29" s="61"/>
      <c r="B29" s="106">
        <v>23</v>
      </c>
      <c r="C29" s="77"/>
      <c r="D29" s="77"/>
      <c r="E29" s="77"/>
      <c r="F29" s="68"/>
      <c r="G29" s="68"/>
      <c r="H29" s="68"/>
      <c r="I29" s="68"/>
      <c r="J29" s="71"/>
      <c r="K29" s="106"/>
      <c r="L29" s="68"/>
      <c r="M29" s="104"/>
      <c r="N29" s="104"/>
      <c r="O29" s="104"/>
      <c r="P29" s="104"/>
      <c r="Q29" s="104"/>
      <c r="R29" s="104"/>
      <c r="S29" s="104"/>
      <c r="T29" s="105"/>
      <c r="U29" s="61"/>
      <c r="V29" s="61"/>
      <c r="W29" s="61"/>
      <c r="X29" s="61"/>
      <c r="Y29" s="61"/>
      <c r="Z29" s="61"/>
    </row>
    <row r="30" spans="1:26" ht="15.75" customHeight="1">
      <c r="A30" s="61"/>
      <c r="B30" s="106">
        <v>24</v>
      </c>
      <c r="C30" s="77"/>
      <c r="D30" s="77"/>
      <c r="E30" s="77"/>
      <c r="F30" s="68"/>
      <c r="G30" s="68"/>
      <c r="H30" s="68"/>
      <c r="I30" s="68"/>
      <c r="J30" s="71"/>
      <c r="K30" s="106"/>
      <c r="L30" s="68"/>
      <c r="M30" s="104"/>
      <c r="N30" s="104"/>
      <c r="O30" s="104"/>
      <c r="P30" s="104"/>
      <c r="Q30" s="104"/>
      <c r="R30" s="104"/>
      <c r="S30" s="104"/>
      <c r="T30" s="105"/>
      <c r="U30" s="61"/>
      <c r="V30" s="61"/>
      <c r="W30" s="61"/>
      <c r="X30" s="61"/>
      <c r="Y30" s="61"/>
      <c r="Z30" s="61"/>
    </row>
    <row r="31" spans="1:26" ht="15.75" customHeight="1">
      <c r="A31" s="61"/>
      <c r="B31" s="106">
        <v>25</v>
      </c>
      <c r="C31" s="77"/>
      <c r="D31" s="77"/>
      <c r="E31" s="77"/>
      <c r="F31" s="68"/>
      <c r="G31" s="68"/>
      <c r="H31" s="68"/>
      <c r="I31" s="68"/>
      <c r="J31" s="71"/>
      <c r="K31" s="106"/>
      <c r="L31" s="68"/>
      <c r="M31" s="104"/>
      <c r="N31" s="104"/>
      <c r="O31" s="104"/>
      <c r="P31" s="104"/>
      <c r="Q31" s="104"/>
      <c r="R31" s="104"/>
      <c r="S31" s="104"/>
      <c r="T31" s="105"/>
      <c r="U31" s="61"/>
      <c r="V31" s="61"/>
      <c r="W31" s="61"/>
      <c r="X31" s="61"/>
      <c r="Y31" s="61"/>
      <c r="Z31" s="61"/>
    </row>
    <row r="32" spans="1:26" ht="15.75" customHeight="1">
      <c r="A32" s="61"/>
      <c r="B32" s="106">
        <v>26</v>
      </c>
      <c r="C32" s="77"/>
      <c r="D32" s="77"/>
      <c r="E32" s="77"/>
      <c r="F32" s="68"/>
      <c r="G32" s="68"/>
      <c r="H32" s="68"/>
      <c r="I32" s="68"/>
      <c r="J32" s="71"/>
      <c r="K32" s="106"/>
      <c r="L32" s="68"/>
      <c r="M32" s="104"/>
      <c r="N32" s="104"/>
      <c r="O32" s="104"/>
      <c r="P32" s="104"/>
      <c r="Q32" s="104"/>
      <c r="R32" s="104"/>
      <c r="S32" s="104"/>
      <c r="T32" s="105"/>
      <c r="U32" s="61"/>
      <c r="V32" s="61"/>
      <c r="W32" s="61"/>
      <c r="X32" s="61"/>
      <c r="Y32" s="61"/>
      <c r="Z32" s="61"/>
    </row>
    <row r="33" spans="1:26" ht="15.75" customHeight="1">
      <c r="A33" s="61"/>
      <c r="B33" s="106">
        <v>27</v>
      </c>
      <c r="C33" s="77"/>
      <c r="D33" s="77"/>
      <c r="E33" s="77"/>
      <c r="F33" s="68"/>
      <c r="G33" s="68"/>
      <c r="H33" s="68"/>
      <c r="I33" s="68"/>
      <c r="J33" s="71"/>
      <c r="K33" s="106"/>
      <c r="L33" s="68"/>
      <c r="M33" s="104"/>
      <c r="N33" s="104"/>
      <c r="O33" s="104"/>
      <c r="P33" s="104"/>
      <c r="Q33" s="104"/>
      <c r="R33" s="104"/>
      <c r="S33" s="104"/>
      <c r="T33" s="105"/>
      <c r="U33" s="61"/>
      <c r="V33" s="61"/>
      <c r="W33" s="61"/>
      <c r="X33" s="61"/>
      <c r="Y33" s="61"/>
      <c r="Z33" s="61"/>
    </row>
    <row r="34" spans="1:26" ht="15.75" customHeight="1">
      <c r="A34" s="61"/>
      <c r="B34" s="106">
        <v>28</v>
      </c>
      <c r="C34" s="77"/>
      <c r="D34" s="77"/>
      <c r="E34" s="107"/>
      <c r="F34" s="73"/>
      <c r="G34" s="73"/>
      <c r="H34" s="73"/>
      <c r="I34" s="73"/>
      <c r="J34" s="92"/>
      <c r="K34" s="102"/>
      <c r="L34" s="73"/>
      <c r="M34" s="103"/>
      <c r="N34" s="103"/>
      <c r="O34" s="103"/>
      <c r="P34" s="103"/>
      <c r="Q34" s="103"/>
      <c r="R34" s="103"/>
      <c r="S34" s="103"/>
      <c r="T34" s="98"/>
      <c r="U34" s="61"/>
      <c r="V34" s="61"/>
      <c r="W34" s="61"/>
      <c r="X34" s="61"/>
      <c r="Y34" s="61"/>
      <c r="Z34" s="61"/>
    </row>
    <row r="35" spans="1:26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3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3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3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3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3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3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3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3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3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3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3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3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3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3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3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3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3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3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3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3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3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3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3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3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3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3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3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3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3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3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3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3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3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3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3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3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3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3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3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3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3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3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3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3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3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3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3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3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3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3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3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3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3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3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3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3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3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3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3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3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3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3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3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3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3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3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3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3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3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3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3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3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3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3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3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3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3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3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3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3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3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3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3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3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3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3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3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3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3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3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3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3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3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3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3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3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3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3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3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3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3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3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3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3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3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3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3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3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3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3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3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3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3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3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3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3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3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3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3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3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3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3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3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3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3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3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3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3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3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3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3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3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3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3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3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3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3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3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3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3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3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3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3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3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3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3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3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3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3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3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3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3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3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3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3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3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3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3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3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3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3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3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3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3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3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3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3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3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3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3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3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3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3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3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3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3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3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3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3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3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3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3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3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3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3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3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3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3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3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3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3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3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3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3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3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3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3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spans="1:26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3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spans="1:26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3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3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spans="1:26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3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spans="1:2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3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spans="1:26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3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spans="1:26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3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spans="1:26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3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spans="1:26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3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spans="1:26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3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spans="1:26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3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spans="1:26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3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spans="1:26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3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spans="1:26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3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spans="1:2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3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spans="1:26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3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spans="1:26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3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spans="1:26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3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spans="1:26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3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3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3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3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spans="1:26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3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spans="1:26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3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spans="1:2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3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spans="1:26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3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spans="1:26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3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spans="1:26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3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spans="1:26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3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spans="1:26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3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spans="1:26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3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spans="1:26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3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spans="1:26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3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spans="1:26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3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spans="1:2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3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3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3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3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3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3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3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3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3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3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3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3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3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3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3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3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3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3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3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3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3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3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3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3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3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3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3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3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3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3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3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3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3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3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3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3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3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3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3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3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3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3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3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3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3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3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3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3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3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3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3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3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3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3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3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3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3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3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3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3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3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3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3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3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3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3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3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3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3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3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3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3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3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3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3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3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3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3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3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3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3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3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3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3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3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3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3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3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3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3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3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3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3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3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3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3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3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3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3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3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3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3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3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3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3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3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3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3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3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3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3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3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3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3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3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3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3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3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3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3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3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3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3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3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3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3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3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3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3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3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3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3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3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3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3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3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3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3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3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3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3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3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3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3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3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3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3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3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3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3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3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3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3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3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3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3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3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3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3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3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3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3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3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3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3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3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3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3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3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3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3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3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3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3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3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3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3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3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3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3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3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3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3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3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3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3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3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3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3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3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3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3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3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3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3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3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3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3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3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3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3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3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3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3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3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3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3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3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3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3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3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3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3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3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3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3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3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3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3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3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3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3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3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3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3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3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3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3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3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3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3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3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3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3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3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3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3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3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3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3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3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3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3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3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3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3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3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3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3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3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3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3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3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3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3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3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3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3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3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3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3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3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3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3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3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3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3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3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3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3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3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3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3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3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3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3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3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3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3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3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3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3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3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3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3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3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3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3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3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3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3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3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3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3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3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3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3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3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3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3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3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3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3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3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3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3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3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3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3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3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3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3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3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3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3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3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3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3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3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3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3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3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3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3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3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3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3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3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3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3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3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3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3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3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3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3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3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3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3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3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3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3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3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3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3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3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3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3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3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3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3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3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3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3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3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3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3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3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3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3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3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3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3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3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3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3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3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3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3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3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3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3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3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3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3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3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3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3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3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3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3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3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3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3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3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3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3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3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3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3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3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3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3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3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3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3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3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3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3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3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3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3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3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3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3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3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3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3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3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3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3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3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3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3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3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3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3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3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3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3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3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3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3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3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3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3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3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3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3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3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3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3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3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3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3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3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3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3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3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3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3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3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3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3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3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3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3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3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3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3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3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3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3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3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3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3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3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3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3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3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3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3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3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3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3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3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3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3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3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3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3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3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3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3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3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3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3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3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3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3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3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3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3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3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3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3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3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3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3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3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3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3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3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3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3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3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3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3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3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3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3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3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3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3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3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3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3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3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3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3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3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3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3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3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3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3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3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3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3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3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3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3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3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3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3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3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3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3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3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3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3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3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3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3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3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3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3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3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3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3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3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3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3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3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3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3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3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3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3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3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3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3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3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3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3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3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3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3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3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3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3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3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3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3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3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3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3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3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3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3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3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3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3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3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3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3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3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3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3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3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3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3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3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3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3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3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3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3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3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3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3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3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3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3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3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3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3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3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3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3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3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3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3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3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3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3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3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3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3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3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3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3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3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3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3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3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3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3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3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3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3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3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3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3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3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3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3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3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3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3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3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3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3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3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3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3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3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3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3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3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3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3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3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3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3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3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3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3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3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3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3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3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3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3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3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3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3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3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3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3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3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3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3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3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3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3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3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3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3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3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3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3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3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3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3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3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3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3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3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3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3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3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3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3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3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3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3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3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3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3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3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3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3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3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3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3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3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3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3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3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3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3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3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3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3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3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3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3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3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3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3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3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3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3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3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spans="1:26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3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spans="1:26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3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spans="1:26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3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spans="1:26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3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spans="1:2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3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spans="1:26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3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spans="1:26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3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spans="1:26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3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spans="1:26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3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spans="1:26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3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spans="1:26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3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spans="1:26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3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spans="1:26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3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spans="1:26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3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spans="1:2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3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spans="1:26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3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spans="1:26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3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spans="1:26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3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spans="1:26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3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5">
    <mergeCell ref="D2:G2"/>
    <mergeCell ref="B3:E3"/>
    <mergeCell ref="C5:J5"/>
    <mergeCell ref="K5:P5"/>
    <mergeCell ref="Q5:T5"/>
  </mergeCells>
  <pageMargins left="0.7" right="0.7" top="0.75" bottom="0.75" header="0" footer="0"/>
  <pageSetup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Cruz</dc:creator>
  <cp:keywords/>
  <dc:description/>
  <cp:lastModifiedBy/>
  <cp:revision/>
  <dcterms:created xsi:type="dcterms:W3CDTF">2021-01-21T04:54:30Z</dcterms:created>
  <dcterms:modified xsi:type="dcterms:W3CDTF">2025-12-22T19:58:34Z</dcterms:modified>
  <cp:category/>
  <cp:contentStatus/>
</cp:coreProperties>
</file>